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Ex2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hidePivotFieldList="1"/>
  <xr:revisionPtr revIDLastSave="0" documentId="8_{12390D25-4145-4A0C-BA05-7485E7D9765A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Dashboard" sheetId="4" r:id="rId1"/>
    <sheet name="List" sheetId="3" r:id="rId2"/>
    <sheet name="Raw_Data" sheetId="1" r:id="rId3"/>
  </sheets>
  <definedNames>
    <definedName name="_xlchart.v1.0" hidden="1">Raw_Data!$C$2:$C$21</definedName>
    <definedName name="_xlchart.v1.1" hidden="1">Raw_Data!$F$1</definedName>
    <definedName name="_xlchart.v1.2" hidden="1">Raw_Data!$F$2:$F$21</definedName>
    <definedName name="_xlchart.v1.3" hidden="1">Raw_Data!$C$2:$C$21</definedName>
    <definedName name="_xlchart.v1.4" hidden="1">Raw_Data!$F$1</definedName>
    <definedName name="_xlchart.v1.5" hidden="1">Raw_Data!$F$2:$F$21</definedName>
    <definedName name="Slicer_Amout">#N/A</definedName>
    <definedName name="Slicer_Customer_ID">#N/A</definedName>
    <definedName name="Slicer_piece">#N/A</definedName>
  </definedNames>
  <calcPr calcId="191028"/>
  <pivotCaches>
    <pivotCache cacheId="4519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3" l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55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31" i="1"/>
  <c r="C31" i="1"/>
  <c r="B31" i="1"/>
  <c r="A31" i="1"/>
  <c r="G2" i="1"/>
  <c r="G3" i="1"/>
  <c r="F22" i="1"/>
  <c r="E22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4" i="1" l="1"/>
  <c r="G23" i="1"/>
  <c r="G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tc={31DD6CF1-893B-4730-B173-261385957DC8}</author>
    <author>tc={40E9D3DA-6C07-4475-A4E9-E06ACBA001F5}</author>
  </authors>
  <commentList>
    <comment ref="A2" authorId="0" shapeId="0" xr:uid="{31DD6CF1-893B-4730-B173-261385957DC8}">
      <text>
        <t>[Threaded comment]
Your version of Excel allows you to read this threaded comment; however, any edits to it will get removed if the file is opened in a newer version of Excel. Learn more: https://go.microsoft.com/fwlink/?linkid=870924
Comment:
    Pivot Table</t>
      </text>
    </comment>
    <comment ref="G4" authorId="1" shapeId="0" xr:uid="{40E9D3DA-6C07-4475-A4E9-E06ACBA001F5}">
      <text>
        <t>[Threaded comment]
Your version of Excel allows you to read this threaded comment; however, any edits to it will get removed if the file is opened in a newer version of Excel. Learn more: https://go.microsoft.com/fwlink/?linkid=870924
Comment:
    Dropdown list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tc={42FCBA0E-C916-473E-974C-4CD335FF0AEA}</author>
    <author>tc={4CF9F4F2-CBA0-4835-9FF6-B100E5F6B696}</author>
    <author>tc={35DD7EDE-3B9C-4F64-AE6C-6A9B3DAC68D1}</author>
    <author>tc={8E5D2699-7C54-4F44-837F-9BDA4B561B97}</author>
  </authors>
  <commentList>
    <comment ref="D2" authorId="0" shapeId="0" xr:uid="{42FCBA0E-C916-473E-974C-4CD335FF0A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use Conditional formating tags
</t>
      </text>
    </comment>
    <comment ref="B54" authorId="1" shapeId="0" xr:uid="{4CF9F4F2-CBA0-4835-9FF6-B100E5F6B696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IF</t>
      </text>
    </comment>
    <comment ref="C54" authorId="2" shapeId="0" xr:uid="{35DD7EDE-3B9C-4F64-AE6C-6A9B3DAC68D1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NESTEDIF</t>
      </text>
    </comment>
    <comment ref="D54" authorId="3" shapeId="0" xr:uid="{8E5D2699-7C54-4F44-837F-9BDA4B561B9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use If,And functions
</t>
      </text>
    </comment>
  </commentList>
</comments>
</file>

<file path=xl/sharedStrings.xml><?xml version="1.0" encoding="utf-8"?>
<sst xmlns="http://schemas.openxmlformats.org/spreadsheetml/2006/main" count="173" uniqueCount="67">
  <si>
    <t>Excel Dashboard</t>
  </si>
  <si>
    <t>Customer_ID</t>
  </si>
  <si>
    <t>Sum of Totale amount</t>
  </si>
  <si>
    <t>C01</t>
  </si>
  <si>
    <t>C02</t>
  </si>
  <si>
    <t>C06</t>
  </si>
  <si>
    <t>C07</t>
  </si>
  <si>
    <t>C11</t>
  </si>
  <si>
    <t>C13</t>
  </si>
  <si>
    <t>C17</t>
  </si>
  <si>
    <t>C19</t>
  </si>
  <si>
    <t>C20</t>
  </si>
  <si>
    <t>Grand Total</t>
  </si>
  <si>
    <t>pivot table</t>
  </si>
  <si>
    <t>Dropdownlist</t>
  </si>
  <si>
    <t>C03</t>
  </si>
  <si>
    <t>C04</t>
  </si>
  <si>
    <t>C05</t>
  </si>
  <si>
    <t>C08</t>
  </si>
  <si>
    <t>C09</t>
  </si>
  <si>
    <t>C10</t>
  </si>
  <si>
    <t>C12</t>
  </si>
  <si>
    <t>C14</t>
  </si>
  <si>
    <t>C15</t>
  </si>
  <si>
    <t>C16</t>
  </si>
  <si>
    <t>C18</t>
  </si>
  <si>
    <t>Transection id</t>
  </si>
  <si>
    <t>T011</t>
  </si>
  <si>
    <t>amount</t>
  </si>
  <si>
    <t>Transcation_ID</t>
  </si>
  <si>
    <t>Transaction_Date</t>
  </si>
  <si>
    <t>ITEM NO</t>
  </si>
  <si>
    <t>Amout</t>
  </si>
  <si>
    <t>piece</t>
  </si>
  <si>
    <t>Totale amount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</si>
  <si>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</si>
  <si>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</si>
  <si>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</si>
  <si>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</si>
  <si>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</si>
  <si>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</si>
  <si>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</si>
  <si>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</si>
  <si>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</si>
  <si>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</si>
  <si>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</si>
  <si>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</si>
  <si>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</si>
  <si>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</si>
  <si>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</si>
  <si>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</si>
  <si>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</si>
  <si>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</si>
  <si>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</si>
  <si>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Totale</t>
  </si>
  <si>
    <t>Minimum sales day</t>
  </si>
  <si>
    <t>Maximum sales day</t>
  </si>
  <si>
    <t>Average of prices</t>
  </si>
  <si>
    <t>Average amount</t>
  </si>
  <si>
    <t>maximum piece</t>
  </si>
  <si>
    <t>minimum piece</t>
  </si>
  <si>
    <t>50000&gt;total amount?</t>
  </si>
  <si>
    <t>Transection Id</t>
  </si>
  <si>
    <t>\</t>
  </si>
  <si>
    <t>500&gt;Amount?</t>
  </si>
  <si>
    <t>500&gt;Amount&gt;15000</t>
  </si>
  <si>
    <t>500&gt;Amount And Amout&gt;15000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</si>
</sst>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s.-849]\ #,##0.00"/>
    <numFmt numFmtId="165" formatCode="[$-F800]dddd\,\ mmmm\ dd\,\ yyyy"/>
  </numFmts>
  <fonts count="8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14"/>
      <color rgb="FFFFFF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36"/>
      <color rgb="FFFF0000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theme="6" tint="0.39997558519241921"/>
      </left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 style="thin">
        <color theme="6" tint="0.39997558519241921"/>
      </right>
      <top style="thin">
        <color theme="6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Border="1" applyAlignment="1"/>
    <xf numFmtId="164" fontId="0" fillId="0" borderId="0" xfId="0" applyNumberFormat="1"/>
    <xf numFmtId="0" fontId="0" fillId="0" borderId="0" xfId="0" applyNumberFormat="1"/>
    <xf numFmtId="0" fontId="2" fillId="0" borderId="0" xfId="0" applyFont="1"/>
    <xf numFmtId="0" fontId="2" fillId="0" borderId="0" xfId="0" applyFont="1" applyAlignment="1">
      <alignment wrapText="1"/>
    </xf>
    <xf numFmtId="164" fontId="1" fillId="3" borderId="0" xfId="0" applyNumberFormat="1" applyFont="1" applyFill="1" applyBorder="1" applyAlignment="1"/>
    <xf numFmtId="165" fontId="0" fillId="0" borderId="0" xfId="0" applyNumberFormat="1"/>
    <xf numFmtId="0" fontId="3" fillId="2" borderId="0" xfId="0" applyFont="1" applyFill="1"/>
    <xf numFmtId="0" fontId="3" fillId="2" borderId="0" xfId="0" applyFont="1" applyFill="1" applyAlignment="1">
      <alignment wrapText="1"/>
    </xf>
    <xf numFmtId="0" fontId="0" fillId="0" borderId="0" xfId="0" applyFill="1"/>
    <xf numFmtId="0" fontId="4" fillId="0" borderId="0" xfId="0" applyFont="1" applyFill="1"/>
    <xf numFmtId="0" fontId="5" fillId="4" borderId="1" xfId="0" applyFont="1" applyFill="1" applyBorder="1"/>
    <xf numFmtId="0" fontId="5" fillId="0" borderId="0" xfId="0" applyFont="1" applyAlignment="1">
      <alignment horizontal="right"/>
    </xf>
    <xf numFmtId="0" fontId="5" fillId="4" borderId="2" xfId="0" applyFont="1" applyFill="1" applyBorder="1"/>
    <xf numFmtId="0" fontId="5" fillId="0" borderId="0" xfId="0" applyFont="1" applyBorder="1" applyAlignment="1">
      <alignment horizontal="right"/>
    </xf>
    <xf numFmtId="0" fontId="0" fillId="0" borderId="3" xfId="0" applyBorder="1"/>
    <xf numFmtId="0" fontId="0" fillId="0" borderId="3" xfId="0" pivotButton="1" applyBorder="1"/>
    <xf numFmtId="164" fontId="0" fillId="0" borderId="3" xfId="0" applyNumberFormat="1" applyBorder="1"/>
    <xf numFmtId="0" fontId="0" fillId="4" borderId="3" xfId="0" applyFont="1" applyFill="1" applyBorder="1"/>
    <xf numFmtId="0" fontId="0" fillId="5" borderId="0" xfId="0" applyFill="1"/>
    <xf numFmtId="0" fontId="6" fillId="6" borderId="0" xfId="0" applyFont="1" applyFill="1"/>
    <xf numFmtId="0" fontId="0" fillId="6" borderId="0" xfId="0" applyFill="1"/>
    <xf numFmtId="0" fontId="7" fillId="6" borderId="0" xfId="0" applyFont="1" applyFill="1"/>
    <xf numFmtId="0" fontId="6" fillId="7" borderId="0" xfId="0" applyFont="1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6" tint="0.59999389629810485"/>
          <bgColor theme="6" tint="0.59999389629810485"/>
        </patternFill>
      </fill>
      <border diagonalUp="0" diagonalDown="0">
        <left style="thin">
          <color theme="6" tint="0.39997558519241921"/>
        </left>
        <right style="thin">
          <color theme="6" tint="0.39997558519241921"/>
        </right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numFmt numFmtId="164" formatCode="[$Rs.-849]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rgb="FF00B050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sz val="14"/>
        <color rgb="FFFFFF00"/>
      </font>
      <fill>
        <patternFill patternType="solid">
          <fgColor indexed="64"/>
          <bgColor rgb="FF00B050"/>
        </patternFill>
      </fill>
    </dxf>
    <dxf>
      <font>
        <color theme="1"/>
      </font>
      <fill>
        <patternFill patternType="solid">
          <bgColor rgb="FF00B0F0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microsoft.com/office/2017/10/relationships/person" Target="persons/perso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Excel Project.xlsx]List!PivotTable1</c:name>
    <c:fmtId val="3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amount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0C361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List!$B$3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C3612"/>
            </a:solidFill>
            <a:ln>
              <a:noFill/>
            </a:ln>
            <a:effectLst/>
          </c:spPr>
          <c:invertIfNegative val="0"/>
          <c:cat>
            <c:strRef>
              <c:f>List!$A$4:$A$13</c:f>
              <c:strCache>
                <c:ptCount val="9"/>
                <c:pt idx="0">
                  <c:v>C01</c:v>
                </c:pt>
                <c:pt idx="1">
                  <c:v>C02</c:v>
                </c:pt>
                <c:pt idx="2">
                  <c:v>C06</c:v>
                </c:pt>
                <c:pt idx="3">
                  <c:v>C07</c:v>
                </c:pt>
                <c:pt idx="4">
                  <c:v>C11</c:v>
                </c:pt>
                <c:pt idx="5">
                  <c:v>C13</c:v>
                </c:pt>
                <c:pt idx="6">
                  <c:v>C17</c:v>
                </c:pt>
                <c:pt idx="7">
                  <c:v>C19</c:v>
                </c:pt>
                <c:pt idx="8">
                  <c:v>C20</c:v>
                </c:pt>
              </c:strCache>
            </c:strRef>
          </c:cat>
          <c:val>
            <c:numRef>
              <c:f>List!$B$4:$B$13</c:f>
              <c:numCache>
                <c:formatCode>[$Rs.-849]\ #,##0.00</c:formatCode>
                <c:ptCount val="9"/>
                <c:pt idx="0">
                  <c:v>500</c:v>
                </c:pt>
                <c:pt idx="1">
                  <c:v>15000</c:v>
                </c:pt>
                <c:pt idx="2">
                  <c:v>1000</c:v>
                </c:pt>
                <c:pt idx="3">
                  <c:v>15000</c:v>
                </c:pt>
                <c:pt idx="4">
                  <c:v>2700</c:v>
                </c:pt>
                <c:pt idx="5">
                  <c:v>10000</c:v>
                </c:pt>
                <c:pt idx="6">
                  <c:v>1320</c:v>
                </c:pt>
                <c:pt idx="7">
                  <c:v>10000</c:v>
                </c:pt>
                <c:pt idx="8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60-48A2-8BD6-4E0DC3A30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2516231"/>
        <c:axId val="502526471"/>
      </c:barChart>
      <c:catAx>
        <c:axId val="502516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526471"/>
        <c:crosses val="autoZero"/>
        <c:auto val="1"/>
        <c:lblAlgn val="ctr"/>
        <c:lblOffset val="100"/>
        <c:noMultiLvlLbl val="0"/>
      </c:catAx>
      <c:valAx>
        <c:axId val="502526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piece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Rs.-84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516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Excel Project.xlsx]List!PivotTable1</c:name>
    <c:fmtId val="5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rgbClr val="000000"/>
          </a:solidFill>
          <a:ln w="19050">
            <a:solidFill>
              <a:srgbClr val="FF0000"/>
            </a:solidFill>
            <a:prstDash val="solid"/>
          </a:ln>
          <a:effectLst/>
        </c:spPr>
      </c:pivotFmt>
      <c:pivotFmt>
        <c:idx val="58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rgbClr val="7030A0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rgbClr val="3C7D22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rgbClr val="E8733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List!$B$3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rgbClr val="CA501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rgbClr val="57811B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rgbClr val="B146C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List!$A$4:$A$13</c:f>
              <c:strCache>
                <c:ptCount val="9"/>
                <c:pt idx="0">
                  <c:v>C01</c:v>
                </c:pt>
                <c:pt idx="1">
                  <c:v>C02</c:v>
                </c:pt>
                <c:pt idx="2">
                  <c:v>C06</c:v>
                </c:pt>
                <c:pt idx="3">
                  <c:v>C07</c:v>
                </c:pt>
                <c:pt idx="4">
                  <c:v>C11</c:v>
                </c:pt>
                <c:pt idx="5">
                  <c:v>C13</c:v>
                </c:pt>
                <c:pt idx="6">
                  <c:v>C17</c:v>
                </c:pt>
                <c:pt idx="7">
                  <c:v>C19</c:v>
                </c:pt>
                <c:pt idx="8">
                  <c:v>C20</c:v>
                </c:pt>
              </c:strCache>
            </c:strRef>
          </c:cat>
          <c:val>
            <c:numRef>
              <c:f>List!$B$4:$B$13</c:f>
              <c:numCache>
                <c:formatCode>[$Rs.-849]\ #,##0.00</c:formatCode>
                <c:ptCount val="9"/>
                <c:pt idx="0">
                  <c:v>500</c:v>
                </c:pt>
                <c:pt idx="1">
                  <c:v>15000</c:v>
                </c:pt>
                <c:pt idx="2">
                  <c:v>1000</c:v>
                </c:pt>
                <c:pt idx="3">
                  <c:v>15000</c:v>
                </c:pt>
                <c:pt idx="4">
                  <c:v>2700</c:v>
                </c:pt>
                <c:pt idx="5">
                  <c:v>10000</c:v>
                </c:pt>
                <c:pt idx="6">
                  <c:v>1320</c:v>
                </c:pt>
                <c:pt idx="7">
                  <c:v>10000</c:v>
                </c:pt>
                <c:pt idx="8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FC75-4C5C-9CA7-28C6119B38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Excel Project.xlsx]List!PivotTable1</c:name>
    <c:fmtId val="5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piece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List!$B$3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rgbClr val="CA501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rgbClr val="57811B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rgbClr val="B146C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List!$A$4:$A$13</c:f>
              <c:strCache>
                <c:ptCount val="9"/>
                <c:pt idx="0">
                  <c:v>C01</c:v>
                </c:pt>
                <c:pt idx="1">
                  <c:v>C02</c:v>
                </c:pt>
                <c:pt idx="2">
                  <c:v>C06</c:v>
                </c:pt>
                <c:pt idx="3">
                  <c:v>C07</c:v>
                </c:pt>
                <c:pt idx="4">
                  <c:v>C11</c:v>
                </c:pt>
                <c:pt idx="5">
                  <c:v>C13</c:v>
                </c:pt>
                <c:pt idx="6">
                  <c:v>C17</c:v>
                </c:pt>
                <c:pt idx="7">
                  <c:v>C19</c:v>
                </c:pt>
                <c:pt idx="8">
                  <c:v>C20</c:v>
                </c:pt>
              </c:strCache>
            </c:strRef>
          </c:cat>
          <c:val>
            <c:numRef>
              <c:f>List!$B$4:$B$13</c:f>
              <c:numCache>
                <c:formatCode>[$Rs.-849]\ #,##0.00</c:formatCode>
                <c:ptCount val="9"/>
                <c:pt idx="0">
                  <c:v>500</c:v>
                </c:pt>
                <c:pt idx="1">
                  <c:v>15000</c:v>
                </c:pt>
                <c:pt idx="2">
                  <c:v>1000</c:v>
                </c:pt>
                <c:pt idx="3">
                  <c:v>15000</c:v>
                </c:pt>
                <c:pt idx="4">
                  <c:v>2700</c:v>
                </c:pt>
                <c:pt idx="5">
                  <c:v>10000</c:v>
                </c:pt>
                <c:pt idx="6">
                  <c:v>1320</c:v>
                </c:pt>
                <c:pt idx="7">
                  <c:v>10000</c:v>
                </c:pt>
                <c:pt idx="8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6742-45F2-9146-AB660B2C5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Excel Project.xlsx]List!PivotTable1</c:name>
    <c:fmtId val="6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piece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List!$B$3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List!$A$4:$A$13</c:f>
              <c:strCache>
                <c:ptCount val="9"/>
                <c:pt idx="0">
                  <c:v>C01</c:v>
                </c:pt>
                <c:pt idx="1">
                  <c:v>C02</c:v>
                </c:pt>
                <c:pt idx="2">
                  <c:v>C06</c:v>
                </c:pt>
                <c:pt idx="3">
                  <c:v>C07</c:v>
                </c:pt>
                <c:pt idx="4">
                  <c:v>C11</c:v>
                </c:pt>
                <c:pt idx="5">
                  <c:v>C13</c:v>
                </c:pt>
                <c:pt idx="6">
                  <c:v>C17</c:v>
                </c:pt>
                <c:pt idx="7">
                  <c:v>C19</c:v>
                </c:pt>
                <c:pt idx="8">
                  <c:v>C20</c:v>
                </c:pt>
              </c:strCache>
            </c:strRef>
          </c:cat>
          <c:val>
            <c:numRef>
              <c:f>List!$B$4:$B$13</c:f>
              <c:numCache>
                <c:formatCode>[$Rs.-849]\ #,##0.00</c:formatCode>
                <c:ptCount val="9"/>
                <c:pt idx="0">
                  <c:v>500</c:v>
                </c:pt>
                <c:pt idx="1">
                  <c:v>15000</c:v>
                </c:pt>
                <c:pt idx="2">
                  <c:v>1000</c:v>
                </c:pt>
                <c:pt idx="3">
                  <c:v>15000</c:v>
                </c:pt>
                <c:pt idx="4">
                  <c:v>2700</c:v>
                </c:pt>
                <c:pt idx="5">
                  <c:v>10000</c:v>
                </c:pt>
                <c:pt idx="6">
                  <c:v>1320</c:v>
                </c:pt>
                <c:pt idx="7">
                  <c:v>10000</c:v>
                </c:pt>
                <c:pt idx="8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02-4336-9C22-969EE9A6DE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9201287"/>
        <c:axId val="279203335"/>
      </c:barChart>
      <c:catAx>
        <c:axId val="279201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203335"/>
        <c:crosses val="autoZero"/>
        <c:auto val="1"/>
        <c:lblAlgn val="ctr"/>
        <c:lblOffset val="100"/>
        <c:noMultiLvlLbl val="0"/>
      </c:catAx>
      <c:valAx>
        <c:axId val="279203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piece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Rs.-84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201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Excel Project.xlsx]List!PivotTable1</c:name>
    <c:fmtId val="6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Amount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7E350E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List!$B$3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7E350E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List!$A$4:$A$13</c:f>
              <c:strCache>
                <c:ptCount val="9"/>
                <c:pt idx="0">
                  <c:v>C01</c:v>
                </c:pt>
                <c:pt idx="1">
                  <c:v>C02</c:v>
                </c:pt>
                <c:pt idx="2">
                  <c:v>C06</c:v>
                </c:pt>
                <c:pt idx="3">
                  <c:v>C07</c:v>
                </c:pt>
                <c:pt idx="4">
                  <c:v>C11</c:v>
                </c:pt>
                <c:pt idx="5">
                  <c:v>C13</c:v>
                </c:pt>
                <c:pt idx="6">
                  <c:v>C17</c:v>
                </c:pt>
                <c:pt idx="7">
                  <c:v>C19</c:v>
                </c:pt>
                <c:pt idx="8">
                  <c:v>C20</c:v>
                </c:pt>
              </c:strCache>
            </c:strRef>
          </c:cat>
          <c:val>
            <c:numRef>
              <c:f>List!$B$4:$B$13</c:f>
              <c:numCache>
                <c:formatCode>[$Rs.-849]\ #,##0.00</c:formatCode>
                <c:ptCount val="9"/>
                <c:pt idx="0">
                  <c:v>500</c:v>
                </c:pt>
                <c:pt idx="1">
                  <c:v>15000</c:v>
                </c:pt>
                <c:pt idx="2">
                  <c:v>1000</c:v>
                </c:pt>
                <c:pt idx="3">
                  <c:v>15000</c:v>
                </c:pt>
                <c:pt idx="4">
                  <c:v>2700</c:v>
                </c:pt>
                <c:pt idx="5">
                  <c:v>10000</c:v>
                </c:pt>
                <c:pt idx="6">
                  <c:v>1320</c:v>
                </c:pt>
                <c:pt idx="7">
                  <c:v>10000</c:v>
                </c:pt>
                <c:pt idx="8">
                  <c:v>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EA-4526-BFBD-C4B3DA0EB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023239"/>
        <c:axId val="279281671"/>
      </c:lineChart>
      <c:catAx>
        <c:axId val="2770232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Costumer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281671"/>
        <c:crosses val="autoZero"/>
        <c:auto val="1"/>
        <c:lblAlgn val="ctr"/>
        <c:lblOffset val="100"/>
        <c:noMultiLvlLbl val="0"/>
      </c:catAx>
      <c:valAx>
        <c:axId val="279281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Rs.-849]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023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7E350E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amount of piece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List!$F$29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275317"/>
            </a:solidFill>
          </c:spPr>
          <c:dPt>
            <c:idx val="0"/>
            <c:bubble3D val="0"/>
            <c:spPr>
              <a:solidFill>
                <a:srgbClr val="27531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009-4A3B-AFDB-1A6D3ED7A708}"/>
              </c:ext>
            </c:extLst>
          </c:dPt>
          <c:cat>
            <c:strRef>
              <c:f>List!$G$28</c:f>
              <c:strCache>
                <c:ptCount val="1"/>
                <c:pt idx="0">
                  <c:v>T011</c:v>
                </c:pt>
              </c:strCache>
            </c:strRef>
          </c:cat>
          <c:val>
            <c:numRef>
              <c:f>List!$G$29</c:f>
              <c:numCache>
                <c:formatCode>General</c:formatCode>
                <c:ptCount val="1"/>
                <c:pt idx="0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09-4A3B-AFDB-1A6D3ED7A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Raw_Data!$D$30</c:f>
              <c:strCache>
                <c:ptCount val="1"/>
                <c:pt idx="0">
                  <c:v>50000&gt;total amount?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43E-4B89-868E-D0FC16E1F05A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43E-4B89-868E-D0FC16E1F05A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43E-4B89-868E-D0FC16E1F05A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43E-4B89-868E-D0FC16E1F05A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43E-4B89-868E-D0FC16E1F05A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43E-4B89-868E-D0FC16E1F05A}"/>
              </c:ext>
            </c:extLst>
          </c:dPt>
          <c:dPt>
            <c:idx val="6"/>
            <c:bubble3D val="0"/>
            <c:spPr>
              <a:solidFill>
                <a:srgbClr val="CA501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43E-4B89-868E-D0FC16E1F05A}"/>
              </c:ext>
            </c:extLst>
          </c:dPt>
          <c:dPt>
            <c:idx val="7"/>
            <c:bubble3D val="0"/>
            <c:spPr>
              <a:solidFill>
                <a:srgbClr val="57811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43E-4B89-868E-D0FC16E1F05A}"/>
              </c:ext>
            </c:extLst>
          </c:dPt>
          <c:dPt>
            <c:idx val="8"/>
            <c:bubble3D val="0"/>
            <c:spPr>
              <a:solidFill>
                <a:srgbClr val="B146C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43E-4B89-868E-D0FC16E1F05A}"/>
              </c:ext>
            </c:extLst>
          </c:dPt>
          <c:dPt>
            <c:idx val="9"/>
            <c:bubble3D val="0"/>
            <c:spPr>
              <a:solidFill>
                <a:srgbClr val="AE8C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43E-4B89-868E-D0FC16E1F05A}"/>
              </c:ext>
            </c:extLst>
          </c:dPt>
          <c:dPt>
            <c:idx val="10"/>
            <c:bubble3D val="0"/>
            <c:spPr>
              <a:solidFill>
                <a:srgbClr val="AE8C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43E-4B89-868E-D0FC16E1F05A}"/>
              </c:ext>
            </c:extLst>
          </c:dPt>
          <c:dPt>
            <c:idx val="11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E43E-4B89-868E-D0FC16E1F05A}"/>
              </c:ext>
            </c:extLst>
          </c:dPt>
          <c:dPt>
            <c:idx val="12"/>
            <c:bubble3D val="0"/>
            <c:spPr>
              <a:solidFill>
                <a:srgbClr val="EE5FB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E43E-4B89-868E-D0FC16E1F05A}"/>
              </c:ext>
            </c:extLst>
          </c:dPt>
          <c:dPt>
            <c:idx val="13"/>
            <c:bubble3D val="0"/>
            <c:spPr>
              <a:solidFill>
                <a:srgbClr val="008B9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E43E-4B89-868E-D0FC16E1F05A}"/>
              </c:ext>
            </c:extLst>
          </c:dPt>
          <c:dPt>
            <c:idx val="14"/>
            <c:bubble3D val="0"/>
            <c:spPr>
              <a:solidFill>
                <a:srgbClr val="D7744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E43E-4B89-868E-D0FC16E1F05A}"/>
              </c:ext>
            </c:extLst>
          </c:dPt>
          <c:dPt>
            <c:idx val="15"/>
            <c:bubble3D val="0"/>
            <c:spPr>
              <a:solidFill>
                <a:srgbClr val="BA58C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E43E-4B89-868E-D0FC16E1F05A}"/>
              </c:ext>
            </c:extLst>
          </c:dPt>
          <c:dPt>
            <c:idx val="16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E43E-4B89-868E-D0FC16E1F05A}"/>
              </c:ext>
            </c:extLst>
          </c:dPt>
          <c:dPt>
            <c:idx val="17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E43E-4B89-868E-D0FC16E1F05A}"/>
              </c:ext>
            </c:extLst>
          </c:dPt>
          <c:dPt>
            <c:idx val="18"/>
            <c:bubble3D val="0"/>
            <c:spPr>
              <a:solidFill>
                <a:srgbClr val="C36BD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E43E-4B89-868E-D0FC16E1F05A}"/>
              </c:ext>
            </c:extLst>
          </c:dPt>
          <c:dPt>
            <c:idx val="19"/>
            <c:bubble3D val="0"/>
            <c:spPr>
              <a:solidFill>
                <a:srgbClr val="D0622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E43E-4B89-868E-D0FC16E1F05A}"/>
              </c:ext>
            </c:extLst>
          </c:dPt>
          <c:val>
            <c:numRef>
              <c:f>Raw_Data!$D$31:$D$50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43E-4B89-868E-D0FC16E1F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Raw_Data!$D$30</c:f>
              <c:strCache>
                <c:ptCount val="1"/>
                <c:pt idx="0">
                  <c:v>50000&gt;total amount?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6D9-4822-85B2-9A64EC7E88C6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6D9-4822-85B2-9A64EC7E88C6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6D9-4822-85B2-9A64EC7E88C6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6D9-4822-85B2-9A64EC7E88C6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6D9-4822-85B2-9A64EC7E88C6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6D9-4822-85B2-9A64EC7E88C6}"/>
              </c:ext>
            </c:extLst>
          </c:dPt>
          <c:dPt>
            <c:idx val="6"/>
            <c:bubble3D val="0"/>
            <c:spPr>
              <a:solidFill>
                <a:srgbClr val="CA501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6D9-4822-85B2-9A64EC7E88C6}"/>
              </c:ext>
            </c:extLst>
          </c:dPt>
          <c:dPt>
            <c:idx val="7"/>
            <c:bubble3D val="0"/>
            <c:spPr>
              <a:solidFill>
                <a:srgbClr val="57811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6D9-4822-85B2-9A64EC7E88C6}"/>
              </c:ext>
            </c:extLst>
          </c:dPt>
          <c:dPt>
            <c:idx val="8"/>
            <c:bubble3D val="0"/>
            <c:spPr>
              <a:solidFill>
                <a:srgbClr val="B146C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6D9-4822-85B2-9A64EC7E88C6}"/>
              </c:ext>
            </c:extLst>
          </c:dPt>
          <c:dPt>
            <c:idx val="9"/>
            <c:bubble3D val="0"/>
            <c:spPr>
              <a:solidFill>
                <a:srgbClr val="AE8C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6D9-4822-85B2-9A64EC7E88C6}"/>
              </c:ext>
            </c:extLst>
          </c:dPt>
          <c:dPt>
            <c:idx val="10"/>
            <c:bubble3D val="0"/>
            <c:spPr>
              <a:solidFill>
                <a:srgbClr val="AE8C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6D9-4822-85B2-9A64EC7E88C6}"/>
              </c:ext>
            </c:extLst>
          </c:dPt>
          <c:dPt>
            <c:idx val="11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96D9-4822-85B2-9A64EC7E88C6}"/>
              </c:ext>
            </c:extLst>
          </c:dPt>
          <c:dPt>
            <c:idx val="12"/>
            <c:bubble3D val="0"/>
            <c:spPr>
              <a:solidFill>
                <a:srgbClr val="EE5FB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96D9-4822-85B2-9A64EC7E88C6}"/>
              </c:ext>
            </c:extLst>
          </c:dPt>
          <c:dPt>
            <c:idx val="13"/>
            <c:bubble3D val="0"/>
            <c:spPr>
              <a:solidFill>
                <a:srgbClr val="008B9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96D9-4822-85B2-9A64EC7E88C6}"/>
              </c:ext>
            </c:extLst>
          </c:dPt>
          <c:dPt>
            <c:idx val="14"/>
            <c:bubble3D val="0"/>
            <c:spPr>
              <a:solidFill>
                <a:srgbClr val="D7744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96D9-4822-85B2-9A64EC7E88C6}"/>
              </c:ext>
            </c:extLst>
          </c:dPt>
          <c:dPt>
            <c:idx val="15"/>
            <c:bubble3D val="0"/>
            <c:spPr>
              <a:solidFill>
                <a:srgbClr val="BA58C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96D9-4822-85B2-9A64EC7E88C6}"/>
              </c:ext>
            </c:extLst>
          </c:dPt>
          <c:dPt>
            <c:idx val="16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96D9-4822-85B2-9A64EC7E88C6}"/>
              </c:ext>
            </c:extLst>
          </c:dPt>
          <c:dPt>
            <c:idx val="17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96D9-4822-85B2-9A64EC7E88C6}"/>
              </c:ext>
            </c:extLst>
          </c:dPt>
          <c:dPt>
            <c:idx val="18"/>
            <c:bubble3D val="0"/>
            <c:spPr>
              <a:solidFill>
                <a:srgbClr val="C36BD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96D9-4822-85B2-9A64EC7E88C6}"/>
              </c:ext>
            </c:extLst>
          </c:dPt>
          <c:dPt>
            <c:idx val="19"/>
            <c:bubble3D val="0"/>
            <c:spPr>
              <a:solidFill>
                <a:srgbClr val="D0622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96D9-4822-85B2-9A64EC7E88C6}"/>
              </c:ext>
            </c:extLst>
          </c:dPt>
          <c:val>
            <c:numRef>
              <c:f>Raw_Data!$D$31:$D$50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4D-4CA9-B2C6-5A7051C5B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amount of  items piece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amount of  items piece</a:t>
          </a:r>
        </a:p>
      </cx:txPr>
    </cx:title>
    <cx:plotArea>
      <cx:plotAreaRegion>
        <cx:series layoutId="clusteredColumn" uniqueId="{00000000-6CAB-41E9-A144-8051C7A93A49}">
          <cx:tx>
            <cx:txData>
              <cx:f>_xlchart.v1.1</cx:f>
              <cx:v>piece</cx:v>
            </cx:txData>
          </cx:tx>
          <cx:spPr>
            <a:solidFill>
              <a:srgbClr val="782170"/>
            </a:solidFill>
          </cx:spPr>
          <cx:dataPt idx="1">
            <cx:spPr>
              <a:solidFill>
                <a:srgbClr val="00B050"/>
              </a:solidFill>
            </cx:spPr>
          </cx:dataPt>
          <cx:dataPt idx="2">
            <cx:spPr>
              <a:solidFill>
                <a:srgbClr val="0070C0"/>
              </a:solidFill>
            </cx:spPr>
          </cx:dataPt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piece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900" b="0" i="0">
                  <a:solidFill>
                    <a:srgbClr val="7F7F7F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t>piece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CustomerId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900" b="1" i="1">
                  <a:solidFill>
                    <a:srgbClr val="7F7F7F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rPr b="1" i="1"/>
                <a:t>CustomerId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amount of  items piece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amount of  items piece</a:t>
          </a:r>
        </a:p>
      </cx:txPr>
    </cx:title>
    <cx:plotArea>
      <cx:plotAreaRegion>
        <cx:series layoutId="clusteredColumn" uniqueId="{00000000-6CAB-41E9-A144-8051C7A93A49}">
          <cx:tx>
            <cx:txData>
              <cx:f>_xlchart.v1.4</cx:f>
              <cx:v>piece</cx:v>
            </cx:txData>
          </cx:tx>
          <cx:spPr>
            <a:solidFill>
              <a:srgbClr val="782170"/>
            </a:solidFill>
          </cx:spPr>
          <cx:dataPt idx="1">
            <cx:spPr>
              <a:solidFill>
                <a:srgbClr val="00B050"/>
              </a:solidFill>
            </cx:spPr>
          </cx:dataPt>
          <cx:dataPt idx="2">
            <cx:spPr>
              <a:solidFill>
                <a:srgbClr val="0070C0"/>
              </a:solidFill>
            </cx:spPr>
          </cx:dataPt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piece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900" b="0" i="0">
                  <a:solidFill>
                    <a:srgbClr val="7F7F7F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t>piece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CustomerId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900" b="1" i="1">
                  <a:solidFill>
                    <a:srgbClr val="7F7F7F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rPr b="1" i="1"/>
                <a:t>CustomerId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0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7</xdr:row>
      <xdr:rowOff>123825</xdr:rowOff>
    </xdr:from>
    <xdr:to>
      <xdr:col>11</xdr:col>
      <xdr:colOff>200025</xdr:colOff>
      <xdr:row>22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6835A8-D4BE-4BB5-A598-57D05A7C6B6D}"/>
            </a:ext>
            <a:ext uri="{147F2762-F138-4A5C-976F-8EAC2B608ADB}">
              <a16:predDERef xmlns:a16="http://schemas.microsoft.com/office/drawing/2014/main" pred="{B1AE7F51-44C7-F8DC-D45E-D92BB66C5E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152400</xdr:colOff>
      <xdr:row>0</xdr:row>
      <xdr:rowOff>171450</xdr:rowOff>
    </xdr:from>
    <xdr:to>
      <xdr:col>1</xdr:col>
      <xdr:colOff>1047750</xdr:colOff>
      <xdr:row>7</xdr:row>
      <xdr:rowOff>9525</xdr:rowOff>
    </xdr:to>
    <xdr:sp macro="" textlink="">
      <xdr:nvSpPr>
        <xdr:cNvPr id="3" name="Oval Callout 2" title="Created By Tharu">
          <a:extLst>
            <a:ext uri="{FF2B5EF4-FFF2-40B4-BE49-F238E27FC236}">
              <a16:creationId xmlns:a16="http://schemas.microsoft.com/office/drawing/2014/main" id="{8AEA1DD7-B50F-284C-AEF4-D99876455FC0}"/>
            </a:ext>
            <a:ext uri="{147F2762-F138-4A5C-976F-8EAC2B608ADB}">
              <a16:predDERef xmlns:a16="http://schemas.microsoft.com/office/drawing/2014/main" pred="{536835A8-D4BE-4BB5-A598-57D05A7C6B6D}"/>
            </a:ext>
          </a:extLst>
        </xdr:cNvPr>
        <xdr:cNvSpPr/>
      </xdr:nvSpPr>
      <xdr:spPr>
        <a:xfrm>
          <a:off x="152400" y="171450"/>
          <a:ext cx="1695450" cy="1343025"/>
        </a:xfrm>
        <a:prstGeom prst="wedgeEllipseCallout">
          <a:avLst/>
        </a:prstGeom>
        <a:ln>
          <a:solidFill>
            <a:srgbClr val="FF0000"/>
          </a:solidFill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Created </a:t>
          </a:r>
        </a:p>
        <a:p>
          <a:pPr marL="0" indent="0" algn="l"/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By </a:t>
          </a:r>
        </a:p>
        <a:p>
          <a:pPr marL="0" indent="0" algn="l"/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Tharu</a:t>
          </a:r>
        </a:p>
      </xdr:txBody>
    </xdr:sp>
    <xdr:clientData/>
  </xdr:twoCellAnchor>
  <xdr:twoCellAnchor>
    <xdr:from>
      <xdr:col>3</xdr:col>
      <xdr:colOff>152400</xdr:colOff>
      <xdr:row>22</xdr:row>
      <xdr:rowOff>142875</xdr:rowOff>
    </xdr:from>
    <xdr:to>
      <xdr:col>11</xdr:col>
      <xdr:colOff>295275</xdr:colOff>
      <xdr:row>38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20F0194-D658-4AF6-ACB4-304DCB03D99B}"/>
            </a:ext>
            <a:ext uri="{147F2762-F138-4A5C-976F-8EAC2B608ADB}">
              <a16:predDERef xmlns:a16="http://schemas.microsoft.com/office/drawing/2014/main" pred="{8AEA1DD7-B50F-284C-AEF4-D99876455F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561975</xdr:colOff>
      <xdr:row>38</xdr:row>
      <xdr:rowOff>123825</xdr:rowOff>
    </xdr:from>
    <xdr:to>
      <xdr:col>20</xdr:col>
      <xdr:colOff>257175</xdr:colOff>
      <xdr:row>53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5DBD67D-ED65-4E6F-9068-6213F8D6F19F}"/>
            </a:ext>
            <a:ext uri="{147F2762-F138-4A5C-976F-8EAC2B608ADB}">
              <a16:predDERef xmlns:a16="http://schemas.microsoft.com/office/drawing/2014/main" pred="{C20F0194-D658-4AF6-ACB4-304DCB03D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276225</xdr:colOff>
      <xdr:row>39</xdr:row>
      <xdr:rowOff>28575</xdr:rowOff>
    </xdr:from>
    <xdr:to>
      <xdr:col>10</xdr:col>
      <xdr:colOff>581025</xdr:colOff>
      <xdr:row>53</xdr:row>
      <xdr:rowOff>104775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8E28368-9EA1-492C-B63D-5E8354B2BD27}"/>
            </a:ext>
            <a:ext uri="{147F2762-F138-4A5C-976F-8EAC2B608ADB}">
              <a16:predDERef xmlns:a16="http://schemas.microsoft.com/office/drawing/2014/main" pred="{65DBD67D-ED65-4E6F-9068-6213F8D6F1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561975</xdr:colOff>
      <xdr:row>23</xdr:row>
      <xdr:rowOff>123825</xdr:rowOff>
    </xdr:from>
    <xdr:to>
      <xdr:col>20</xdr:col>
      <xdr:colOff>247650</xdr:colOff>
      <xdr:row>37</xdr:row>
      <xdr:rowOff>161925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AC62670-055D-40C9-AC0B-13B1EF67AEED}"/>
            </a:ext>
            <a:ext uri="{147F2762-F138-4A5C-976F-8EAC2B608ADB}">
              <a16:predDERef xmlns:a16="http://schemas.microsoft.com/office/drawing/2014/main" pred="{68E28368-9EA1-492C-B63D-5E8354B2B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133350</xdr:colOff>
      <xdr:row>54</xdr:row>
      <xdr:rowOff>161925</xdr:rowOff>
    </xdr:from>
    <xdr:to>
      <xdr:col>11</xdr:col>
      <xdr:colOff>600075</xdr:colOff>
      <xdr:row>69</xdr:row>
      <xdr:rowOff>161925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ABC2B79-966B-40E4-B79D-BC3F9AF10DF0}"/>
            </a:ext>
            <a:ext uri="{147F2762-F138-4A5C-976F-8EAC2B608ADB}">
              <a16:predDERef xmlns:a16="http://schemas.microsoft.com/office/drawing/2014/main" pred="{DAC62670-055D-40C9-AC0B-13B1EF67AE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266700</xdr:colOff>
      <xdr:row>54</xdr:row>
      <xdr:rowOff>142875</xdr:rowOff>
    </xdr:from>
    <xdr:to>
      <xdr:col>21</xdr:col>
      <xdr:colOff>238125</xdr:colOff>
      <xdr:row>73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2">
              <a:extLst>
                <a:ext uri="{FF2B5EF4-FFF2-40B4-BE49-F238E27FC236}">
                  <a16:creationId xmlns:a16="http://schemas.microsoft.com/office/drawing/2014/main" id="{F83B7EA9-9C5B-48D2-8191-A39FEAFB39AB}"/>
                </a:ext>
                <a:ext uri="{147F2762-F138-4A5C-976F-8EAC2B608ADB}">
                  <a16:predDERef xmlns:a16="http://schemas.microsoft.com/office/drawing/2014/main" pred="{9ABC2B79-966B-40E4-B79D-BC3F9AF10DF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96300" y="10601325"/>
              <a:ext cx="5457825" cy="3571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361950</xdr:colOff>
      <xdr:row>6</xdr:row>
      <xdr:rowOff>95250</xdr:rowOff>
    </xdr:from>
    <xdr:to>
      <xdr:col>19</xdr:col>
      <xdr:colOff>133350</xdr:colOff>
      <xdr:row>21</xdr:row>
      <xdr:rowOff>95250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BC5DF46-E167-4369-B690-C7BB8AF7212F}"/>
            </a:ext>
            <a:ext uri="{147F2762-F138-4A5C-976F-8EAC2B608ADB}">
              <a16:predDERef xmlns:a16="http://schemas.microsoft.com/office/drawing/2014/main" pred="{F83B7EA9-9C5B-48D2-8191-A39FEAFB39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571500</xdr:colOff>
      <xdr:row>2</xdr:row>
      <xdr:rowOff>133350</xdr:rowOff>
    </xdr:from>
    <xdr:to>
      <xdr:col>20</xdr:col>
      <xdr:colOff>438150</xdr:colOff>
      <xdr:row>13</xdr:row>
      <xdr:rowOff>142875</xdr:rowOff>
    </xdr:to>
    <xdr:sp macro="" textlink="">
      <xdr:nvSpPr>
        <xdr:cNvPr id="12" name="Can 11">
          <a:extLst>
            <a:ext uri="{FF2B5EF4-FFF2-40B4-BE49-F238E27FC236}">
              <a16:creationId xmlns:a16="http://schemas.microsoft.com/office/drawing/2014/main" id="{6ADFFC8A-8C32-3493-C838-4F17652705C3}"/>
            </a:ext>
            <a:ext uri="{147F2762-F138-4A5C-976F-8EAC2B608ADB}">
              <a16:predDERef xmlns:a16="http://schemas.microsoft.com/office/drawing/2014/main" pred="{CBC5DF46-E167-4369-B690-C7BB8AF7212F}"/>
            </a:ext>
          </a:extLst>
        </xdr:cNvPr>
        <xdr:cNvSpPr/>
      </xdr:nvSpPr>
      <xdr:spPr>
        <a:xfrm>
          <a:off x="11544300" y="514350"/>
          <a:ext cx="1085850" cy="2276475"/>
        </a:xfrm>
        <a:prstGeom prst="can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 i="1" u="none" strike="noStrike">
              <a:solidFill>
                <a:schemeClr val="lt1"/>
              </a:solidFill>
              <a:latin typeface="Aptos Narrow" panose="020B0004020202020204" pitchFamily="34" charset="0"/>
            </a:rPr>
            <a:t>sales </a:t>
          </a:r>
        </a:p>
        <a:p>
          <a:pPr marL="0" indent="0" algn="l"/>
          <a:r>
            <a:rPr lang="en-US" sz="1100" b="1" i="1" u="none" strike="noStrike">
              <a:solidFill>
                <a:schemeClr val="lt1"/>
              </a:solidFill>
              <a:latin typeface="Aptos Narrow" panose="020B0004020202020204" pitchFamily="34" charset="0"/>
            </a:rPr>
            <a:t>amount</a:t>
          </a:r>
        </a:p>
      </xdr:txBody>
    </xdr:sp>
    <xdr:clientData/>
  </xdr:twoCellAnchor>
  <xdr:twoCellAnchor>
    <xdr:from>
      <xdr:col>0</xdr:col>
      <xdr:colOff>142875</xdr:colOff>
      <xdr:row>69</xdr:row>
      <xdr:rowOff>133350</xdr:rowOff>
    </xdr:from>
    <xdr:to>
      <xdr:col>1</xdr:col>
      <xdr:colOff>1038225</xdr:colOff>
      <xdr:row>77</xdr:row>
      <xdr:rowOff>9525</xdr:rowOff>
    </xdr:to>
    <xdr:sp macro="" textlink="">
      <xdr:nvSpPr>
        <xdr:cNvPr id="13" name="No Entry 12">
          <a:extLst>
            <a:ext uri="{FF2B5EF4-FFF2-40B4-BE49-F238E27FC236}">
              <a16:creationId xmlns:a16="http://schemas.microsoft.com/office/drawing/2014/main" id="{FC9CB5B6-A077-6D0E-407B-E96E2DC935EA}"/>
            </a:ext>
            <a:ext uri="{147F2762-F138-4A5C-976F-8EAC2B608ADB}">
              <a16:predDERef xmlns:a16="http://schemas.microsoft.com/office/drawing/2014/main" pred="{6ADFFC8A-8C32-3493-C838-4F17652705C3}"/>
            </a:ext>
          </a:extLst>
        </xdr:cNvPr>
        <xdr:cNvSpPr/>
      </xdr:nvSpPr>
      <xdr:spPr>
        <a:xfrm>
          <a:off x="142875" y="13449300"/>
          <a:ext cx="1933575" cy="1400175"/>
        </a:xfrm>
        <a:prstGeom prst="noSmoking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200025</xdr:colOff>
      <xdr:row>37</xdr:row>
      <xdr:rowOff>133350</xdr:rowOff>
    </xdr:from>
    <xdr:to>
      <xdr:col>1</xdr:col>
      <xdr:colOff>990600</xdr:colOff>
      <xdr:row>51</xdr:row>
      <xdr:rowOff>104775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4" name="Customer_ID 1">
              <a:extLst>
                <a:ext uri="{FF2B5EF4-FFF2-40B4-BE49-F238E27FC236}">
                  <a16:creationId xmlns:a16="http://schemas.microsoft.com/office/drawing/2014/main" id="{35F8BCD7-BE90-72CB-1FB0-3DD42DE40BE4}"/>
                </a:ext>
                <a:ext uri="{147F2762-F138-4A5C-976F-8EAC2B608ADB}">
                  <a16:predDERef xmlns:a16="http://schemas.microsoft.com/office/drawing/2014/main" pred="{FC9CB5B6-A077-6D0E-407B-E96E2DC935E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_ID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0025" y="73533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228600</xdr:colOff>
      <xdr:row>21</xdr:row>
      <xdr:rowOff>19050</xdr:rowOff>
    </xdr:from>
    <xdr:to>
      <xdr:col>1</xdr:col>
      <xdr:colOff>1019175</xdr:colOff>
      <xdr:row>34</xdr:row>
      <xdr:rowOff>180975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5" name="Amout 1">
              <a:extLst>
                <a:ext uri="{FF2B5EF4-FFF2-40B4-BE49-F238E27FC236}">
                  <a16:creationId xmlns:a16="http://schemas.microsoft.com/office/drawing/2014/main" id="{49DE7D48-7DB8-9A7C-836D-93F2D46F7A06}"/>
                </a:ext>
                <a:ext uri="{147F2762-F138-4A5C-976F-8EAC2B608ADB}">
                  <a16:predDERef xmlns:a16="http://schemas.microsoft.com/office/drawing/2014/main" pred="{35F8BCD7-BE90-72CB-1FB0-3DD42DE40B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mout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" y="41910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257175</xdr:colOff>
      <xdr:row>52</xdr:row>
      <xdr:rowOff>171450</xdr:rowOff>
    </xdr:from>
    <xdr:to>
      <xdr:col>1</xdr:col>
      <xdr:colOff>1047750</xdr:colOff>
      <xdr:row>66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6" name="piece">
              <a:extLst>
                <a:ext uri="{FF2B5EF4-FFF2-40B4-BE49-F238E27FC236}">
                  <a16:creationId xmlns:a16="http://schemas.microsoft.com/office/drawing/2014/main" id="{7E55EA0E-FCAE-AA27-FF1E-C4D533046105}"/>
                </a:ext>
                <a:ext uri="{147F2762-F138-4A5C-976F-8EAC2B608ADB}">
                  <a16:predDERef xmlns:a16="http://schemas.microsoft.com/office/drawing/2014/main" pred="{49DE7D48-7DB8-9A7C-836D-93F2D46F7A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iec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7175" y="102489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371475</xdr:colOff>
      <xdr:row>22</xdr:row>
      <xdr:rowOff>152400</xdr:rowOff>
    </xdr:from>
    <xdr:to>
      <xdr:col>5</xdr:col>
      <xdr:colOff>742950</xdr:colOff>
      <xdr:row>26</xdr:row>
      <xdr:rowOff>57150</xdr:rowOff>
    </xdr:to>
    <xdr:sp macro="" textlink="">
      <xdr:nvSpPr>
        <xdr:cNvPr id="3" name="Rounded Rectangular Callout 2" title="Use ">
          <a:extLst>
            <a:ext uri="{FF2B5EF4-FFF2-40B4-BE49-F238E27FC236}">
              <a16:creationId xmlns:a16="http://schemas.microsoft.com/office/drawing/2014/main" id="{6AB67ACB-6AB6-AA3F-838E-95C52DE36FD8}"/>
            </a:ext>
            <a:ext uri="{147F2762-F138-4A5C-976F-8EAC2B608ADB}">
              <a16:predDERef xmlns:a16="http://schemas.microsoft.com/office/drawing/2014/main" pred="{F1C07F9C-27D3-E788-2ACA-9145037F37CC}"/>
            </a:ext>
          </a:extLst>
        </xdr:cNvPr>
        <xdr:cNvSpPr/>
      </xdr:nvSpPr>
      <xdr:spPr>
        <a:xfrm>
          <a:off x="3362325" y="4343400"/>
          <a:ext cx="1590675" cy="666750"/>
        </a:xfrm>
        <a:prstGeom prst="wedgeRoundRectCallout">
          <a:avLst/>
        </a:prstGeom>
        <a:solidFill>
          <a:srgbClr val="FFFF00"/>
        </a:solidFill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chemeClr val="dk1"/>
              </a:solidFill>
              <a:latin typeface="Aptos Narrow" panose="020B0004020202020204" pitchFamily="34" charset="0"/>
            </a:rPr>
            <a:t>Use VLokuup and  dropdownlist</a:t>
          </a:r>
        </a:p>
      </xdr:txBody>
    </xdr:sp>
    <xdr:clientData/>
  </xdr:twoCellAnchor>
  <xdr:twoCellAnchor editAs="oneCell">
    <xdr:from>
      <xdr:col>7</xdr:col>
      <xdr:colOff>504825</xdr:colOff>
      <xdr:row>0</xdr:row>
      <xdr:rowOff>133350</xdr:rowOff>
    </xdr:from>
    <xdr:to>
      <xdr:col>10</xdr:col>
      <xdr:colOff>504825</xdr:colOff>
      <xdr:row>14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Customer_ID">
              <a:extLst>
                <a:ext uri="{FF2B5EF4-FFF2-40B4-BE49-F238E27FC236}">
                  <a16:creationId xmlns:a16="http://schemas.microsoft.com/office/drawing/2014/main" id="{BC2C1E0D-009B-0BA5-121D-4BFF90D95BD1}"/>
                </a:ext>
                <a:ext uri="{147F2762-F138-4A5C-976F-8EAC2B608ADB}">
                  <a16:predDERef xmlns:a16="http://schemas.microsoft.com/office/drawing/2014/main" pred="{FDBBE370-9BF3-EFB4-D634-36DFA342243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_I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91325" y="1333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11</xdr:col>
      <xdr:colOff>104775</xdr:colOff>
      <xdr:row>0</xdr:row>
      <xdr:rowOff>133350</xdr:rowOff>
    </xdr:from>
    <xdr:to>
      <xdr:col>14</xdr:col>
      <xdr:colOff>600075</xdr:colOff>
      <xdr:row>15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Amout">
              <a:extLst>
                <a:ext uri="{FF2B5EF4-FFF2-40B4-BE49-F238E27FC236}">
                  <a16:creationId xmlns:a16="http://schemas.microsoft.com/office/drawing/2014/main" id="{B1AE7F51-44C7-F8DC-D45E-D92BB66C5EC8}"/>
                </a:ext>
                <a:ext uri="{147F2762-F138-4A5C-976F-8EAC2B608ADB}">
                  <a16:predDERef xmlns:a16="http://schemas.microsoft.com/office/drawing/2014/main" pred="{BC2C1E0D-009B-0BA5-121D-4BFF90D95B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mou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29675" y="133350"/>
              <a:ext cx="2324100" cy="2828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1</xdr:row>
      <xdr:rowOff>85725</xdr:rowOff>
    </xdr:from>
    <xdr:to>
      <xdr:col>15</xdr:col>
      <xdr:colOff>361950</xdr:colOff>
      <xdr:row>18</xdr:row>
      <xdr:rowOff>190500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BF47279-CA40-6641-A5F3-614AB0A581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219075</xdr:colOff>
      <xdr:row>28</xdr:row>
      <xdr:rowOff>123825</xdr:rowOff>
    </xdr:from>
    <xdr:to>
      <xdr:col>14</xdr:col>
      <xdr:colOff>476250</xdr:colOff>
      <xdr:row>47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8B6036-6CEE-6288-3414-55AB729E0669}"/>
            </a:ext>
            <a:ext uri="{147F2762-F138-4A5C-976F-8EAC2B608ADB}">
              <a16:predDERef xmlns:a16="http://schemas.microsoft.com/office/drawing/2014/main" pred="{CBF47279-CA40-6641-A5F3-614AB0A581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ruka Sewwandi" id="{C9CCB1F6-FF02-44AB-9CCE-D9B76B2AF53A}" userId="14f58c5eadec8f98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98.735389699075" createdVersion="8" refreshedVersion="8" minRefreshableVersion="3" recordCount="20" xr:uid="{80158D58-3BD5-4B8C-B75F-C77308FDF8DC}">
  <cacheSource type="worksheet">
    <worksheetSource ref="A1:G21" sheet="Raw_Data"/>
  </cacheSource>
  <cacheFields count="7">
    <cacheField name="Transcation_ID" numFmtId="0">
      <sharedItems count="20">
        <s v="T001"/>
        <s v="T002"/>
        <s v="T003"/>
        <s v="T004"/>
        <s v="T005"/>
        <s v="T006"/>
        <s v="T007"/>
        <s v="T008"/>
        <s v="T009"/>
        <s v="T010"/>
        <s v="T011"/>
        <s v="T012"/>
        <s v="T013"/>
        <s v="T014"/>
        <s v="T015"/>
        <s v="T016"/>
        <s v="T017"/>
        <s v="T018"/>
        <s v="T019"/>
        <s v="T020"/>
      </sharedItems>
    </cacheField>
    <cacheField name="Transaction_Date" numFmtId="165">
      <sharedItems containsSemiMixedTypes="0" containsNonDate="0" containsDate="1" containsString="0" minDate="2025-11-11T00:00:00" maxDate="2025-12-01T00:00:00"/>
    </cacheField>
    <cacheField name="Customer_ID" numFmtId="0">
      <sharedItems count="20">
        <s v="C01"/>
        <s v="C02"/>
        <s v="C03"/>
        <s v="C04"/>
        <s v="C05"/>
        <s v="C06"/>
        <s v="C07"/>
        <s v="C08"/>
        <s v="C09"/>
        <s v="C10"/>
        <s v="C11"/>
        <s v="C12"/>
        <s v="C13"/>
        <s v="C14"/>
        <s v="C15"/>
        <s v="C16"/>
        <s v="C17"/>
        <s v="C18"/>
        <s v="C19"/>
        <s v="C20"/>
      </sharedItems>
    </cacheField>
    <cacheField name="ITEM NO" numFmtId="0">
      <sharedItems containsBlank="1" count="10">
        <s v="I1"/>
        <s v="I2"/>
        <s v="I3"/>
        <s v="I4"/>
        <s v="I5"/>
        <m/>
        <s v="I12"/>
        <s v="I13"/>
        <s v="I18"/>
        <s v="I20"/>
      </sharedItems>
    </cacheField>
    <cacheField name="Amout" numFmtId="0">
      <sharedItems containsSemiMixedTypes="0" containsString="0" containsNumber="1" containsInteger="1" minValue="340" maxValue="150000" count="10">
        <n v="500"/>
        <n v="15000"/>
        <n v="340"/>
        <n v="35000"/>
        <n v="900"/>
        <n v="150000"/>
        <n v="660"/>
        <n v="10000"/>
        <n v="100000"/>
        <n v="1500"/>
      </sharedItems>
    </cacheField>
    <cacheField name="piece" numFmtId="0">
      <sharedItems containsSemiMixedTypes="0" containsString="0" containsNumber="1" containsInteger="1" minValue="1" maxValue="5" count="4">
        <n v="1"/>
        <n v="2"/>
        <n v="3"/>
        <n v="5"/>
      </sharedItems>
    </cacheField>
    <cacheField name="Totale amount" numFmtId="164">
      <sharedItems containsSemiMixedTypes="0" containsString="0" containsNumber="1" containsInteger="1" minValue="340" maxValue="500000"/>
    </cacheField>
  </cacheFields>
  <extLst>
    <ext xmlns:x14="http://schemas.microsoft.com/office/spreadsheetml/2009/9/main" uri="{725AE2AE-9491-48be-B2B4-4EB974FC3084}">
      <x14:pivotCacheDefinition pivotCacheId="145427130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d v="2025-11-11T00:00:00"/>
    <x v="0"/>
    <x v="0"/>
    <x v="0"/>
    <x v="0"/>
    <n v="500"/>
  </r>
  <r>
    <x v="1"/>
    <d v="2025-11-12T00:00:00"/>
    <x v="1"/>
    <x v="1"/>
    <x v="1"/>
    <x v="0"/>
    <n v="15000"/>
  </r>
  <r>
    <x v="2"/>
    <d v="2025-11-13T00:00:00"/>
    <x v="2"/>
    <x v="2"/>
    <x v="2"/>
    <x v="1"/>
    <n v="680"/>
  </r>
  <r>
    <x v="3"/>
    <d v="2025-11-14T00:00:00"/>
    <x v="3"/>
    <x v="3"/>
    <x v="3"/>
    <x v="2"/>
    <n v="105000"/>
  </r>
  <r>
    <x v="4"/>
    <d v="2025-11-15T00:00:00"/>
    <x v="4"/>
    <x v="4"/>
    <x v="4"/>
    <x v="3"/>
    <n v="4500"/>
  </r>
  <r>
    <x v="5"/>
    <d v="2025-11-16T00:00:00"/>
    <x v="5"/>
    <x v="0"/>
    <x v="0"/>
    <x v="1"/>
    <n v="1000"/>
  </r>
  <r>
    <x v="6"/>
    <d v="2025-11-17T00:00:00"/>
    <x v="6"/>
    <x v="1"/>
    <x v="1"/>
    <x v="0"/>
    <n v="15000"/>
  </r>
  <r>
    <x v="7"/>
    <d v="2025-11-18T00:00:00"/>
    <x v="7"/>
    <x v="2"/>
    <x v="2"/>
    <x v="0"/>
    <n v="340"/>
  </r>
  <r>
    <x v="8"/>
    <d v="2025-11-19T00:00:00"/>
    <x v="8"/>
    <x v="3"/>
    <x v="3"/>
    <x v="0"/>
    <n v="35000"/>
  </r>
  <r>
    <x v="9"/>
    <d v="2025-11-20T00:00:00"/>
    <x v="9"/>
    <x v="5"/>
    <x v="5"/>
    <x v="0"/>
    <n v="150000"/>
  </r>
  <r>
    <x v="10"/>
    <d v="2025-11-21T00:00:00"/>
    <x v="10"/>
    <x v="4"/>
    <x v="4"/>
    <x v="2"/>
    <n v="2700"/>
  </r>
  <r>
    <x v="11"/>
    <d v="2025-11-22T00:00:00"/>
    <x v="11"/>
    <x v="6"/>
    <x v="6"/>
    <x v="1"/>
    <n v="1320"/>
  </r>
  <r>
    <x v="12"/>
    <d v="2025-11-23T00:00:00"/>
    <x v="12"/>
    <x v="7"/>
    <x v="7"/>
    <x v="0"/>
    <n v="10000"/>
  </r>
  <r>
    <x v="13"/>
    <d v="2025-11-24T00:00:00"/>
    <x v="13"/>
    <x v="0"/>
    <x v="0"/>
    <x v="1"/>
    <n v="1000"/>
  </r>
  <r>
    <x v="14"/>
    <d v="2025-11-25T00:00:00"/>
    <x v="14"/>
    <x v="3"/>
    <x v="3"/>
    <x v="0"/>
    <n v="35000"/>
  </r>
  <r>
    <x v="15"/>
    <d v="2025-11-26T00:00:00"/>
    <x v="15"/>
    <x v="4"/>
    <x v="4"/>
    <x v="0"/>
    <n v="900"/>
  </r>
  <r>
    <x v="16"/>
    <d v="2025-11-27T00:00:00"/>
    <x v="16"/>
    <x v="6"/>
    <x v="6"/>
    <x v="1"/>
    <n v="1320"/>
  </r>
  <r>
    <x v="17"/>
    <d v="2025-11-28T00:00:00"/>
    <x v="17"/>
    <x v="8"/>
    <x v="8"/>
    <x v="3"/>
    <n v="500000"/>
  </r>
  <r>
    <x v="18"/>
    <d v="2025-11-29T00:00:00"/>
    <x v="18"/>
    <x v="7"/>
    <x v="7"/>
    <x v="0"/>
    <n v="10000"/>
  </r>
  <r>
    <x v="19"/>
    <d v="2025-11-30T00:00:00"/>
    <x v="19"/>
    <x v="9"/>
    <x v="9"/>
    <x v="1"/>
    <n v="3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C8E649-49EF-45FE-A4A7-401E2D1DEC4E}" name="PivotTable1" cacheId="4519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multipleFieldFilters="0" chartFormat="67">
  <location ref="A11:B21" firstHeaderRow="1" firstDataRow="1" firstDataCol="1"/>
  <pivotFields count="7">
    <pivotField compact="0" outline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numFmtId="165" outline="0" showAll="0"/>
    <pivotField axis="axisRow" compact="0" outline="0" showAll="0">
      <items count="21">
        <item x="0"/>
        <item x="1"/>
        <item x="2"/>
        <item x="3"/>
        <item h="1" x="4"/>
        <item x="5"/>
        <item x="6"/>
        <item x="7"/>
        <item x="8"/>
        <item x="9"/>
        <item x="10"/>
        <item h="1" x="11"/>
        <item x="12"/>
        <item h="1" x="13"/>
        <item x="14"/>
        <item h="1" x="15"/>
        <item x="16"/>
        <item x="17"/>
        <item x="18"/>
        <item x="19"/>
        <item t="default"/>
      </items>
    </pivotField>
    <pivotField compact="0" outline="0" showAll="0">
      <items count="11">
        <item x="0"/>
        <item x="6"/>
        <item x="7"/>
        <item x="8"/>
        <item x="1"/>
        <item x="9"/>
        <item x="2"/>
        <item x="3"/>
        <item x="4"/>
        <item x="5"/>
        <item t="default"/>
      </items>
    </pivotField>
    <pivotField compact="0" outline="0" showAll="0">
      <items count="11">
        <item h="1" x="2"/>
        <item x="0"/>
        <item x="6"/>
        <item x="4"/>
        <item x="9"/>
        <item x="7"/>
        <item x="1"/>
        <item h="1" x="3"/>
        <item h="1" x="8"/>
        <item h="1" x="5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  <pivotField dataField="1" compact="0" numFmtId="164" outline="0" showAll="0"/>
  </pivotFields>
  <rowFields count="1">
    <field x="2"/>
  </rowFields>
  <rowItems count="10">
    <i>
      <x/>
    </i>
    <i>
      <x v="1"/>
    </i>
    <i>
      <x v="5"/>
    </i>
    <i>
      <x v="6"/>
    </i>
    <i>
      <x v="10"/>
    </i>
    <i>
      <x v="12"/>
    </i>
    <i>
      <x v="16"/>
    </i>
    <i>
      <x v="18"/>
    </i>
    <i>
      <x v="19"/>
    </i>
    <i t="grand">
      <x/>
    </i>
  </rowItems>
  <colItems count="1">
    <i/>
  </colItems>
  <dataFields count="1">
    <dataField name="Sum of Totale amount" fld="6" baseField="0" baseItem="0" numFmtId="164"/>
  </dataFields>
  <formats count="6">
    <format dxfId="17">
      <pivotArea type="all" dataOnly="0" outline="0" fieldPosition="0"/>
    </format>
    <format dxfId="18">
      <pivotArea outline="0" collapsedLevelsAreSubtotals="1" fieldPosition="0"/>
    </format>
    <format dxfId="19">
      <pivotArea field="2" type="button" dataOnly="0" labelOnly="1" outline="0" axis="axisRow" fieldPosition="0"/>
    </format>
    <format dxfId="20">
      <pivotArea dataOnly="0" labelOnly="1" outline="0" fieldPosition="0">
        <references count="1">
          <reference field="2" count="0"/>
        </references>
      </pivotArea>
    </format>
    <format dxfId="21">
      <pivotArea dataOnly="0" labelOnly="1" grandRow="1" outline="0" fieldPosition="0"/>
    </format>
    <format dxfId="22">
      <pivotArea dataOnly="0" labelOnly="1" outline="0" axis="axisValues" fieldPosition="0"/>
    </format>
  </formats>
  <chartFormats count="9">
    <chartFormat chart="38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6" format="3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1" format="7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760D0D-EC27-4A9C-B0D5-FF7FBE114EA7}" name="PivotTable1" cacheId="45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7">
  <location ref="A3:B13" firstHeaderRow="1" firstDataRow="1" firstDataCol="1"/>
  <pivotFields count="7">
    <pivotField compact="0" outline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numFmtId="165" outline="0" showAll="0"/>
    <pivotField axis="axisRow" compact="0" outline="0" showAll="0">
      <items count="21">
        <item x="0"/>
        <item x="1"/>
        <item x="2"/>
        <item x="3"/>
        <item h="1" x="4"/>
        <item x="5"/>
        <item x="6"/>
        <item x="7"/>
        <item x="8"/>
        <item x="9"/>
        <item x="10"/>
        <item h="1" x="11"/>
        <item x="12"/>
        <item h="1" x="13"/>
        <item x="14"/>
        <item h="1" x="15"/>
        <item x="16"/>
        <item x="17"/>
        <item x="18"/>
        <item x="19"/>
        <item t="default"/>
      </items>
    </pivotField>
    <pivotField compact="0" outline="0" showAll="0">
      <items count="11">
        <item x="0"/>
        <item x="6"/>
        <item x="7"/>
        <item x="8"/>
        <item x="1"/>
        <item x="9"/>
        <item x="2"/>
        <item x="3"/>
        <item x="4"/>
        <item x="5"/>
        <item t="default"/>
      </items>
    </pivotField>
    <pivotField compact="0" outline="0" showAll="0">
      <items count="11">
        <item h="1" x="2"/>
        <item x="0"/>
        <item x="6"/>
        <item x="4"/>
        <item x="9"/>
        <item x="7"/>
        <item x="1"/>
        <item h="1" x="3"/>
        <item h="1" x="8"/>
        <item h="1" x="5"/>
        <item t="default"/>
      </items>
    </pivotField>
    <pivotField compact="0" outline="0" showAll="0"/>
    <pivotField dataField="1" compact="0" numFmtId="164" outline="0" showAll="0"/>
  </pivotFields>
  <rowFields count="1">
    <field x="2"/>
  </rowFields>
  <rowItems count="10">
    <i>
      <x/>
    </i>
    <i>
      <x v="1"/>
    </i>
    <i>
      <x v="5"/>
    </i>
    <i>
      <x v="6"/>
    </i>
    <i>
      <x v="10"/>
    </i>
    <i>
      <x v="12"/>
    </i>
    <i>
      <x v="16"/>
    </i>
    <i>
      <x v="18"/>
    </i>
    <i>
      <x v="19"/>
    </i>
    <i t="grand">
      <x/>
    </i>
  </rowItems>
  <colItems count="1">
    <i/>
  </colItems>
  <dataFields count="1">
    <dataField name="Sum of Totale amount" fld="6" baseField="0" baseItem="0" numFmtId="164"/>
  </dataFields>
  <formats count="6">
    <format dxfId="11">
      <pivotArea type="all" dataOnly="0" outline="0" fieldPosition="0"/>
    </format>
    <format dxfId="12">
      <pivotArea outline="0" collapsedLevelsAreSubtotals="1" fieldPosition="0"/>
    </format>
    <format dxfId="13">
      <pivotArea field="2" type="button" dataOnly="0" labelOnly="1" outline="0" axis="axisRow" fieldPosition="0"/>
    </format>
    <format dxfId="14">
      <pivotArea dataOnly="0" labelOnly="1" outline="0" fieldPosition="0">
        <references count="1">
          <reference field="2" count="0"/>
        </references>
      </pivotArea>
    </format>
    <format dxfId="15">
      <pivotArea dataOnly="0" labelOnly="1" grandRow="1" outline="0" fieldPosition="0"/>
    </format>
    <format dxfId="16">
      <pivotArea dataOnly="0" labelOnly="1" outline="0" axis="axisValues" fieldPosition="0"/>
    </format>
  </formats>
  <chartFormats count="9">
    <chartFormat chart="38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6" format="3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1" format="7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ustomer_ID" xr10:uid="{8E32CCB7-BAD4-48D3-B38D-63400C7C382A}" sourceName="Customer_ID">
  <pivotTables>
    <pivotTable tabId="3" name="PivotTable1"/>
    <pivotTable tabId="4" name="PivotTable1"/>
  </pivotTables>
  <data>
    <tabular pivotCacheId="1454271303">
      <items count="20">
        <i x="0" s="1"/>
        <i x="1" s="1"/>
        <i x="4"/>
        <i x="5" s="1"/>
        <i x="6" s="1"/>
        <i x="10" s="1"/>
        <i x="11"/>
        <i x="12" s="1"/>
        <i x="13"/>
        <i x="15"/>
        <i x="16" s="1"/>
        <i x="18" s="1"/>
        <i x="19" s="1"/>
        <i x="2" s="1" nd="1"/>
        <i x="3" s="1" nd="1"/>
        <i x="7" s="1" nd="1"/>
        <i x="8" s="1" nd="1"/>
        <i x="9" s="1" nd="1"/>
        <i x="14" s="1" nd="1"/>
        <i x="17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Amout" xr10:uid="{B45C296E-4F89-4B23-A5B5-F189AAF0E48F}" sourceName="Amout">
  <pivotTables>
    <pivotTable tabId="3" name="PivotTable1"/>
    <pivotTable tabId="4" name="PivotTable1"/>
  </pivotTables>
  <data>
    <tabular pivotCacheId="1454271303">
      <items count="10">
        <i x="2"/>
        <i x="0" s="1"/>
        <i x="6" s="1"/>
        <i x="4" s="1"/>
        <i x="9" s="1"/>
        <i x="7" s="1"/>
        <i x="1" s="1"/>
        <i x="3"/>
        <i x="8"/>
        <i x="5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iece" xr10:uid="{A365EF83-6897-450F-804E-95397796A660}" sourceName="piece">
  <pivotTables>
    <pivotTable tabId="4" name="PivotTable1"/>
  </pivotTables>
  <data>
    <tabular pivotCacheId="1454271303">
      <items count="4">
        <i x="0" s="1"/>
        <i x="1" s="1"/>
        <i x="2" s="1"/>
        <i x="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ustomer_ID 1" xr10:uid="{2B34899B-8447-4E5C-9AB6-1E5B1ABE1912}" cache="Slicer_Customer_ID" caption="Customer_ID" rowHeight="228600"/>
  <slicer name="Amout 1" xr10:uid="{F76A3805-E1FE-4DBC-AF7B-2B6AE14EB269}" cache="Slicer_Amout" caption="Amout" startItem="1" rowHeight="228600"/>
  <slicer name="piece" xr10:uid="{37996C00-391F-4BCF-B6D6-0E8520F7ADEE}" cache="Slicer_piece" caption="piece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ustomer_ID" xr10:uid="{43E9BB82-07A6-422B-85F0-056C5387A5E2}" cache="Slicer_Customer_ID" caption="Customer_ID" rowHeight="228600"/>
  <slicer name="Amout" xr10:uid="{2860AA5F-E174-4C4C-B70D-FC11F4252122}" cache="Slicer_Amout" caption="Amout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692D69-9CE4-48E3-8736-81BD23BC687B}" name="Table1" displayName="Table1" ref="A1:G24" headerRowDxfId="9">
  <autoFilter ref="A1:G24" xr:uid="{55692D69-9CE4-48E3-8736-81BD23BC687B}"/>
  <sortState xmlns:xlrd2="http://schemas.microsoft.com/office/spreadsheetml/2017/richdata2" ref="A2:G24">
    <sortCondition ref="B1:B25"/>
  </sortState>
  <tableColumns count="7">
    <tableColumn id="1" xr3:uid="{F7E84655-7646-47A6-A854-F0FAD71A5889}" name="Transcation_ID" totalsRowLabel="Total" dataDxfId="7" totalsRowDxfId="8"/>
    <tableColumn id="2" xr3:uid="{CFA8419E-9927-48E9-B6EC-4BF38D108A91}" name="Transaction_Date"/>
    <tableColumn id="3" xr3:uid="{ABCC4E3E-22F8-4B51-B94B-D9A6BA7EA0EE}" name="Customer_ID"/>
    <tableColumn id="4" xr3:uid="{2A122E96-D391-477B-BEA9-9FF3E15F3FD2}" name="ITEM NO" dataDxfId="6"/>
    <tableColumn id="5" xr3:uid="{1CD28446-E4C9-4B4C-9069-F852C76EAEB5}" name="Amout"/>
    <tableColumn id="6" xr3:uid="{5F0F5FFA-2293-47DA-980A-39B3486CF92B}" name="piece"/>
    <tableColumn id="7" xr3:uid="{5461E9FC-28CA-4D39-9CF8-1FC907F6B8D4}" name="Totale amount" totalsRowFunction="sum"/>
  </tableColumns>
  <tableStyleInfo name="TableStyleMedium25" showFirstColumn="1" showLastColumn="0" showRowStripes="0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566986-826C-4D82-B41E-5728A8C80A4F}" name="Table2" displayName="Table2" ref="A30:E50" totalsRowShown="0">
  <autoFilter ref="A30:E50" xr:uid="{10566986-826C-4D82-B41E-5728A8C80A4F}"/>
  <tableColumns count="5">
    <tableColumn id="1" xr3:uid="{04B4BA09-CFEA-4FAA-B59E-9417391C341E}" name="Average amount">
      <calculatedColumnFormula>AVERAGE(G2:G21)</calculatedColumnFormula>
    </tableColumn>
    <tableColumn id="2" xr3:uid="{366637DF-A13D-40CC-A9D7-968E0B3A2DC5}" name="maximum piece">
      <calculatedColumnFormula>MAX(F2:F21)</calculatedColumnFormula>
    </tableColumn>
    <tableColumn id="3" xr3:uid="{372BFBC8-4E63-4655-A6C0-FC794631114B}" name="minimum piece">
      <calculatedColumnFormula>MIN(F2:F21)</calculatedColumnFormula>
    </tableColumn>
    <tableColumn id="4" xr3:uid="{BE0C4E5D-B619-4543-A2D3-1596442F00B6}" name="50000&gt;total amount?">
      <calculatedColumnFormula>IF(50000&gt;G2,TRUE,FALSE)</calculatedColumnFormula>
    </tableColumn>
    <tableColumn id="5" xr3:uid="{8D3C7997-254B-47EF-AF47-C1A6960E8A41}" name="Transection Id" dataDxfId="5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418641B-3C4A-463A-9AF6-A94E5B9A593A}" name="Table4" displayName="Table4" ref="A54:D75" totalsRowShown="0" dataDxfId="4">
  <autoFilter ref="A54:D75" xr:uid="{7418641B-3C4A-463A-9AF6-A94E5B9A593A}"/>
  <tableColumns count="4">
    <tableColumn id="1" xr3:uid="{08AAF5C9-E759-4D1F-A625-FE70B7DDFC96}" name="Transection Id" dataDxfId="3"/>
    <tableColumn id="2" xr3:uid="{A6631B68-3646-4D3B-92EB-93072FB92CFC}" name="500&gt;Amount?" dataDxfId="2">
      <calculatedColumnFormula>_xleta.LEN</calculatedColumnFormula>
    </tableColumn>
    <tableColumn id="3" xr3:uid="{9EAF00D7-AF5D-4C8B-B1F6-44E5A9423DBA}" name="500&gt;Amount&gt;15000" dataDxfId="1">
      <calculatedColumnFormula>IF(500&gt;E2,"yes",IF(E2&gt;15000,"yes","no"))</calculatedColumnFormula>
    </tableColumn>
    <tableColumn id="4" xr3:uid="{AF860233-9E15-4BD8-8676-692B672A62EE}" name="500&gt;Amount And Amout&gt;15000" dataDxfId="0">
      <calculatedColumnFormula>IF(AND(500&gt;E2,E2&gt;20000),"True","False")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5-12-09T05:20:40.70" personId="{C9CCB1F6-FF02-44AB-9CCE-D9B76B2AF53A}" id="{31DD6CF1-893B-4730-B173-261385957DC8}">
    <text>Pivot Table</text>
  </threadedComment>
  <threadedComment ref="G4" dT="2025-12-09T05:22:13.73" personId="{C9CCB1F6-FF02-44AB-9CCE-D9B76B2AF53A}" id="{40E9D3DA-6C07-4475-A4E9-E06ACBA001F5}">
    <text>Dropdown list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2" dT="2025-12-09T05:14:19.67" personId="{C9CCB1F6-FF02-44AB-9CCE-D9B76B2AF53A}" id="{42FCBA0E-C916-473E-974C-4CD335FF0AEA}">
    <text xml:space="preserve">use Conditional formating tags
</text>
  </threadedComment>
  <threadedComment ref="B54" dT="2025-12-09T04:51:23.95" personId="{C9CCB1F6-FF02-44AB-9CCE-D9B76B2AF53A}" id="{4CF9F4F2-CBA0-4835-9FF6-B100E5F6B696}">
    <text>USE IF</text>
  </threadedComment>
  <threadedComment ref="C54" dT="2025-12-09T04:50:40.93" personId="{C9CCB1F6-FF02-44AB-9CCE-D9B76B2AF53A}" id="{35DD7EDE-3B9C-4F64-AE6C-6A9B3DAC68D1}">
    <text>Use NESTEDIF</text>
  </threadedComment>
  <threadedComment ref="D54" dT="2025-12-09T05:02:01.00" personId="{C9CCB1F6-FF02-44AB-9CCE-D9B76B2AF53A}" id="{8E5D2699-7C54-4F44-837F-9BDA4B561B97}">
    <text xml:space="preserve">use If,And functions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microsoft.com/office/2007/relationships/slicer" Target="../slicers/slicer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7" Type="http://schemas.microsoft.com/office/2017/10/relationships/threadedComment" Target="../threadedComments/threadedComment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6" Type="http://schemas.openxmlformats.org/officeDocument/2006/relationships/comments" Target="../comments2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033D2-5303-4DC6-BE10-ADA8B7ED5D93}">
  <dimension ref="A1:W196"/>
  <sheetViews>
    <sheetView tabSelected="1" topLeftCell="A16" workbookViewId="0">
      <selection activeCell="G2" sqref="G2"/>
    </sheetView>
  </sheetViews>
  <sheetFormatPr defaultRowHeight="15"/>
  <cols>
    <col min="1" max="1" width="15.5703125" style="27" customWidth="1"/>
    <col min="2" max="2" width="20.140625" style="27" customWidth="1"/>
    <col min="3" max="3" width="5.42578125" style="27" customWidth="1"/>
  </cols>
  <sheetData>
    <row r="1" spans="1:23">
      <c r="A1" s="26"/>
      <c r="B1" s="26"/>
      <c r="C1" s="26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8"/>
    </row>
    <row r="2" spans="1:23">
      <c r="A2" s="26"/>
      <c r="B2" s="26"/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4"/>
      <c r="V2" s="24"/>
      <c r="W2" s="28"/>
    </row>
    <row r="3" spans="1:23">
      <c r="A3" s="26"/>
      <c r="B3" s="26"/>
      <c r="C3" s="26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4"/>
      <c r="V3" s="24"/>
      <c r="W3" s="28"/>
    </row>
    <row r="4" spans="1:23" ht="28.5" customHeight="1">
      <c r="A4" s="26"/>
      <c r="B4" s="26"/>
      <c r="C4" s="26"/>
      <c r="D4" s="23"/>
      <c r="E4" s="23"/>
      <c r="F4" s="23"/>
      <c r="G4" s="23"/>
      <c r="H4" s="23"/>
      <c r="I4" s="25" t="s">
        <v>0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4"/>
      <c r="V4" s="24"/>
      <c r="W4" s="28"/>
    </row>
    <row r="5" spans="1:23">
      <c r="A5" s="26"/>
      <c r="B5" s="26"/>
      <c r="C5" s="26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4"/>
      <c r="V5" s="24"/>
      <c r="W5" s="28"/>
    </row>
    <row r="6" spans="1:23">
      <c r="A6" s="26"/>
      <c r="B6" s="26"/>
      <c r="C6" s="26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4"/>
      <c r="V6" s="24"/>
      <c r="W6" s="28"/>
    </row>
    <row r="7" spans="1:23"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8"/>
    </row>
    <row r="8" spans="1:23"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8"/>
    </row>
    <row r="9" spans="1:23"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8"/>
    </row>
    <row r="10" spans="1:23"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8"/>
    </row>
    <row r="11" spans="1:23">
      <c r="A11" s="19" t="s">
        <v>1</v>
      </c>
      <c r="B11" s="18" t="s">
        <v>2</v>
      </c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8"/>
    </row>
    <row r="12" spans="1:23">
      <c r="A12" s="18" t="s">
        <v>3</v>
      </c>
      <c r="B12" s="20">
        <v>500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8"/>
    </row>
    <row r="13" spans="1:23">
      <c r="A13" s="18" t="s">
        <v>4</v>
      </c>
      <c r="B13" s="20">
        <v>15000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8"/>
    </row>
    <row r="14" spans="1:23">
      <c r="A14" s="18" t="s">
        <v>5</v>
      </c>
      <c r="B14" s="20">
        <v>1000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8"/>
    </row>
    <row r="15" spans="1:23">
      <c r="A15" s="18" t="s">
        <v>6</v>
      </c>
      <c r="B15" s="20">
        <v>15000</v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8"/>
    </row>
    <row r="16" spans="1:23">
      <c r="A16" s="18" t="s">
        <v>7</v>
      </c>
      <c r="B16" s="20">
        <v>2700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8"/>
    </row>
    <row r="17" spans="1:23">
      <c r="A17" s="18" t="s">
        <v>8</v>
      </c>
      <c r="B17" s="20">
        <v>10000</v>
      </c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8"/>
    </row>
    <row r="18" spans="1:23">
      <c r="A18" s="18" t="s">
        <v>9</v>
      </c>
      <c r="B18" s="20">
        <v>1320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8"/>
    </row>
    <row r="19" spans="1:23">
      <c r="A19" s="18" t="s">
        <v>10</v>
      </c>
      <c r="B19" s="20">
        <v>10000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8"/>
    </row>
    <row r="20" spans="1:23">
      <c r="A20" s="18" t="s">
        <v>11</v>
      </c>
      <c r="B20" s="20">
        <v>3000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8"/>
    </row>
    <row r="21" spans="1:23">
      <c r="A21" s="18" t="s">
        <v>12</v>
      </c>
      <c r="B21" s="20">
        <v>58520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8"/>
    </row>
    <row r="22" spans="1:23">
      <c r="A22" s="28"/>
      <c r="B22" s="28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8"/>
    </row>
    <row r="23" spans="1:23">
      <c r="A23" s="28"/>
      <c r="B23" s="28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8"/>
    </row>
    <row r="24" spans="1:23">
      <c r="A24" s="28"/>
      <c r="B24" s="28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8"/>
    </row>
    <row r="25" spans="1:23">
      <c r="A25" s="28"/>
      <c r="B25" s="28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8"/>
    </row>
    <row r="26" spans="1:23">
      <c r="A26" s="28"/>
      <c r="B26" s="28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8"/>
    </row>
    <row r="27" spans="1:23">
      <c r="A27" s="28"/>
      <c r="B27" s="28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8"/>
    </row>
    <row r="28" spans="1:23">
      <c r="A28" s="28"/>
      <c r="B28" s="28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8"/>
    </row>
    <row r="29" spans="1:23">
      <c r="A29" s="28"/>
      <c r="B29" s="28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8"/>
    </row>
    <row r="30" spans="1:23">
      <c r="A30" s="28"/>
      <c r="B30" s="28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8"/>
    </row>
    <row r="31" spans="1:23">
      <c r="A31" s="28"/>
      <c r="B31" s="28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8"/>
    </row>
    <row r="32" spans="1:23">
      <c r="A32" s="28"/>
      <c r="B32" s="28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8"/>
    </row>
    <row r="33" spans="4:23"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8"/>
    </row>
    <row r="34" spans="4:23"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8"/>
    </row>
    <row r="35" spans="4:23"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8"/>
    </row>
    <row r="36" spans="4:23"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8"/>
    </row>
    <row r="37" spans="4:23"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8"/>
    </row>
    <row r="38" spans="4:23"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8"/>
    </row>
    <row r="39" spans="4:23"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8"/>
    </row>
    <row r="40" spans="4:23"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8"/>
    </row>
    <row r="41" spans="4:23"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8"/>
    </row>
    <row r="42" spans="4:23"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8"/>
    </row>
    <row r="43" spans="4:23"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8"/>
    </row>
    <row r="44" spans="4:23"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8"/>
    </row>
    <row r="45" spans="4:23"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8"/>
    </row>
    <row r="46" spans="4:23"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8"/>
    </row>
    <row r="47" spans="4:23"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8"/>
    </row>
    <row r="48" spans="4:23"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8"/>
    </row>
    <row r="49" spans="4:23"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8"/>
    </row>
    <row r="50" spans="4:23"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8"/>
    </row>
    <row r="51" spans="4:23"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8"/>
    </row>
    <row r="52" spans="4:23"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8"/>
    </row>
    <row r="53" spans="4:23"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8"/>
    </row>
    <row r="54" spans="4:23"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8"/>
    </row>
    <row r="55" spans="4:23"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8"/>
    </row>
    <row r="56" spans="4:23"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8"/>
    </row>
    <row r="57" spans="4:23"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8"/>
    </row>
    <row r="58" spans="4:23"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8"/>
    </row>
    <row r="59" spans="4:23"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8"/>
    </row>
    <row r="60" spans="4:23"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8"/>
    </row>
    <row r="61" spans="4:23"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8"/>
    </row>
    <row r="62" spans="4:23"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8"/>
    </row>
    <row r="63" spans="4:23"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8"/>
    </row>
    <row r="64" spans="4:23"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8"/>
    </row>
    <row r="65" spans="1:23"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8"/>
    </row>
    <row r="66" spans="1:23"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8"/>
    </row>
    <row r="67" spans="1:23"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8"/>
    </row>
    <row r="68" spans="1:23"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8"/>
    </row>
    <row r="69" spans="1:23"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8"/>
    </row>
    <row r="70" spans="1:23"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8"/>
    </row>
    <row r="71" spans="1:23"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8"/>
    </row>
    <row r="72" spans="1:23"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8"/>
    </row>
    <row r="73" spans="1:23"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8"/>
    </row>
    <row r="74" spans="1:23"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8"/>
    </row>
    <row r="75" spans="1:23"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8"/>
    </row>
    <row r="76" spans="1:23"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8"/>
    </row>
    <row r="77" spans="1:23"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8"/>
    </row>
    <row r="78" spans="1:23"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8"/>
    </row>
    <row r="79" spans="1:23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</row>
    <row r="80" spans="1:23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</row>
    <row r="81" spans="1:22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</row>
    <row r="82" spans="1:2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</row>
    <row r="83" spans="1:22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</row>
    <row r="84" spans="1:22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</row>
    <row r="85" spans="1:22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</row>
    <row r="86" spans="1:22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</row>
    <row r="87" spans="1:22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</row>
    <row r="88" spans="1:22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</row>
    <row r="89" spans="1:22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</row>
    <row r="90" spans="1:22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</row>
    <row r="91" spans="1:22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</row>
    <row r="92" spans="1:2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</row>
    <row r="93" spans="1:22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</row>
    <row r="94" spans="1:2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</row>
    <row r="95" spans="1:22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</row>
    <row r="96" spans="1:22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</row>
    <row r="97" spans="1:22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</row>
    <row r="98" spans="1:22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</row>
    <row r="99" spans="1:22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</row>
    <row r="100" spans="1:22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</row>
    <row r="101" spans="1:22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</row>
    <row r="102" spans="1:2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</row>
    <row r="103" spans="1:22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</row>
    <row r="104" spans="1:22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</row>
    <row r="105" spans="1:22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</row>
    <row r="106" spans="1:22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</row>
    <row r="107" spans="1:22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</row>
    <row r="108" spans="1:22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</row>
    <row r="109" spans="1:22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</row>
    <row r="110" spans="1:22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</row>
    <row r="111" spans="1:22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</row>
    <row r="112" spans="1:2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</row>
    <row r="113" spans="1:22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</row>
    <row r="114" spans="1:22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</row>
    <row r="115" spans="1:22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</row>
    <row r="116" spans="1:22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</row>
    <row r="117" spans="1:22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</row>
    <row r="118" spans="1:22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</row>
    <row r="119" spans="1:22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</row>
    <row r="120" spans="1:22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</row>
    <row r="121" spans="1:22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</row>
    <row r="122" spans="1: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</row>
    <row r="123" spans="1:22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</row>
    <row r="124" spans="1:22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</row>
    <row r="125" spans="1:22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</row>
    <row r="126" spans="1:22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</row>
    <row r="127" spans="1:22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</row>
    <row r="128" spans="1:22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</row>
    <row r="129" spans="1:22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</row>
    <row r="130" spans="1:22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</row>
    <row r="131" spans="1:22">
      <c r="A131" s="12"/>
      <c r="B131" s="12"/>
      <c r="C131" s="12"/>
    </row>
    <row r="132" spans="1:22">
      <c r="A132" s="12"/>
      <c r="B132" s="12"/>
      <c r="C132" s="12"/>
    </row>
    <row r="133" spans="1:22">
      <c r="A133" s="12"/>
      <c r="B133" s="12"/>
      <c r="C133" s="12"/>
    </row>
    <row r="134" spans="1:22">
      <c r="A134" s="12"/>
      <c r="B134" s="12"/>
      <c r="C134" s="12"/>
    </row>
    <row r="135" spans="1:22">
      <c r="A135" s="12"/>
      <c r="B135" s="12"/>
      <c r="C135" s="12"/>
    </row>
    <row r="136" spans="1:22">
      <c r="A136" s="12"/>
      <c r="B136" s="12"/>
      <c r="C136" s="12"/>
    </row>
    <row r="137" spans="1:22">
      <c r="A137" s="12"/>
      <c r="B137" s="12"/>
      <c r="C137" s="12"/>
    </row>
    <row r="138" spans="1:22">
      <c r="A138" s="12"/>
      <c r="B138" s="12"/>
      <c r="C138" s="12"/>
    </row>
    <row r="139" spans="1:22">
      <c r="A139" s="12"/>
      <c r="B139" s="12"/>
      <c r="C139" s="12"/>
    </row>
    <row r="140" spans="1:22">
      <c r="A140" s="12"/>
      <c r="B140" s="12"/>
      <c r="C140" s="12"/>
    </row>
    <row r="141" spans="1:22">
      <c r="A141" s="12"/>
      <c r="B141" s="12"/>
      <c r="C141" s="12"/>
    </row>
    <row r="142" spans="1:22">
      <c r="A142" s="12"/>
      <c r="B142" s="12"/>
      <c r="C142" s="12"/>
    </row>
    <row r="143" spans="1:22">
      <c r="A143" s="12"/>
      <c r="B143" s="12"/>
      <c r="C143" s="12"/>
    </row>
    <row r="144" spans="1:22">
      <c r="A144" s="12"/>
      <c r="B144" s="12"/>
      <c r="C144" s="12"/>
    </row>
    <row r="145" spans="1:3">
      <c r="A145" s="12"/>
      <c r="B145" s="12"/>
      <c r="C145" s="12"/>
    </row>
    <row r="146" spans="1:3">
      <c r="A146" s="12"/>
      <c r="B146" s="12"/>
      <c r="C146" s="12"/>
    </row>
    <row r="147" spans="1:3">
      <c r="A147" s="12"/>
      <c r="B147" s="12"/>
      <c r="C147" s="12"/>
    </row>
    <row r="148" spans="1:3">
      <c r="A148" s="12"/>
      <c r="B148" s="12"/>
      <c r="C148" s="12"/>
    </row>
    <row r="149" spans="1:3">
      <c r="A149" s="12"/>
      <c r="B149" s="12"/>
      <c r="C149" s="12"/>
    </row>
    <row r="150" spans="1:3">
      <c r="A150" s="12"/>
      <c r="B150" s="12"/>
      <c r="C150" s="12"/>
    </row>
    <row r="151" spans="1:3">
      <c r="A151" s="12"/>
      <c r="B151" s="12"/>
      <c r="C151" s="12"/>
    </row>
    <row r="152" spans="1:3">
      <c r="A152" s="12"/>
      <c r="B152" s="12"/>
      <c r="C152" s="12"/>
    </row>
    <row r="153" spans="1:3">
      <c r="A153" s="12"/>
      <c r="B153" s="12"/>
      <c r="C153" s="12"/>
    </row>
    <row r="154" spans="1:3">
      <c r="A154" s="12"/>
      <c r="B154" s="12"/>
      <c r="C154" s="12"/>
    </row>
    <row r="155" spans="1:3">
      <c r="A155" s="12"/>
      <c r="B155" s="12"/>
      <c r="C155" s="12"/>
    </row>
    <row r="156" spans="1:3">
      <c r="A156" s="12"/>
      <c r="B156" s="12"/>
      <c r="C156" s="12"/>
    </row>
    <row r="157" spans="1:3">
      <c r="A157" s="12"/>
      <c r="B157" s="12"/>
      <c r="C157" s="12"/>
    </row>
    <row r="158" spans="1:3">
      <c r="A158" s="12"/>
      <c r="B158" s="12"/>
      <c r="C158" s="12"/>
    </row>
    <row r="159" spans="1:3">
      <c r="A159" s="12"/>
      <c r="B159" s="12"/>
      <c r="C159" s="12"/>
    </row>
    <row r="160" spans="1:3">
      <c r="A160" s="12"/>
      <c r="B160" s="12"/>
      <c r="C160" s="12"/>
    </row>
    <row r="161" spans="1:3">
      <c r="A161" s="12"/>
      <c r="B161" s="12"/>
      <c r="C161" s="12"/>
    </row>
    <row r="162" spans="1:3">
      <c r="A162" s="12"/>
      <c r="B162" s="12"/>
      <c r="C162" s="12"/>
    </row>
    <row r="163" spans="1:3">
      <c r="A163" s="12"/>
      <c r="B163" s="12"/>
      <c r="C163" s="12"/>
    </row>
    <row r="164" spans="1:3">
      <c r="A164" s="12"/>
      <c r="B164" s="12"/>
      <c r="C164" s="12"/>
    </row>
    <row r="165" spans="1:3">
      <c r="A165" s="12"/>
      <c r="B165" s="12"/>
      <c r="C165" s="12"/>
    </row>
    <row r="166" spans="1:3">
      <c r="A166" s="12"/>
      <c r="B166" s="12"/>
      <c r="C166" s="12"/>
    </row>
    <row r="167" spans="1:3">
      <c r="A167" s="12"/>
      <c r="B167" s="12"/>
      <c r="C167" s="12"/>
    </row>
    <row r="168" spans="1:3">
      <c r="A168" s="12"/>
      <c r="B168" s="12"/>
      <c r="C168" s="12"/>
    </row>
    <row r="169" spans="1:3">
      <c r="A169" s="12"/>
      <c r="B169" s="12"/>
      <c r="C169" s="12"/>
    </row>
    <row r="170" spans="1:3">
      <c r="A170" s="12"/>
      <c r="B170" s="12"/>
      <c r="C170" s="12"/>
    </row>
    <row r="171" spans="1:3">
      <c r="A171" s="12"/>
      <c r="B171" s="12"/>
      <c r="C171" s="12"/>
    </row>
    <row r="172" spans="1:3">
      <c r="A172" s="12"/>
      <c r="B172" s="12"/>
      <c r="C172" s="12"/>
    </row>
    <row r="173" spans="1:3">
      <c r="A173" s="12"/>
      <c r="B173" s="12"/>
      <c r="C173" s="12"/>
    </row>
    <row r="174" spans="1:3">
      <c r="A174" s="12"/>
      <c r="B174" s="12"/>
      <c r="C174" s="12"/>
    </row>
    <row r="175" spans="1:3">
      <c r="A175" s="12"/>
      <c r="B175" s="12"/>
      <c r="C175" s="12"/>
    </row>
    <row r="176" spans="1:3">
      <c r="A176" s="12"/>
      <c r="B176" s="12"/>
      <c r="C176" s="12"/>
    </row>
    <row r="177" spans="1:3">
      <c r="A177" s="12"/>
      <c r="B177" s="12"/>
      <c r="C177" s="12"/>
    </row>
    <row r="178" spans="1:3">
      <c r="A178" s="12"/>
      <c r="B178" s="12"/>
      <c r="C178" s="12"/>
    </row>
    <row r="179" spans="1:3">
      <c r="A179" s="12"/>
      <c r="B179" s="12"/>
      <c r="C179" s="12"/>
    </row>
    <row r="180" spans="1:3">
      <c r="A180" s="12"/>
      <c r="B180" s="12"/>
      <c r="C180" s="12"/>
    </row>
    <row r="181" spans="1:3">
      <c r="A181" s="12"/>
      <c r="B181" s="12"/>
      <c r="C181" s="12"/>
    </row>
    <row r="182" spans="1:3">
      <c r="A182" s="12"/>
      <c r="B182" s="12"/>
      <c r="C182" s="12"/>
    </row>
    <row r="183" spans="1:3">
      <c r="A183" s="12"/>
      <c r="B183" s="12"/>
      <c r="C183" s="12"/>
    </row>
    <row r="184" spans="1:3">
      <c r="A184" s="12"/>
      <c r="B184" s="12"/>
      <c r="C184" s="12"/>
    </row>
    <row r="185" spans="1:3">
      <c r="A185" s="12"/>
      <c r="B185" s="12"/>
      <c r="C185" s="12"/>
    </row>
    <row r="186" spans="1:3">
      <c r="A186" s="12"/>
      <c r="B186" s="12"/>
      <c r="C186" s="12"/>
    </row>
    <row r="187" spans="1:3">
      <c r="A187" s="12"/>
      <c r="B187" s="12"/>
      <c r="C187" s="12"/>
    </row>
    <row r="188" spans="1:3">
      <c r="A188" s="12"/>
      <c r="B188" s="12"/>
      <c r="C188" s="12"/>
    </row>
    <row r="189" spans="1:3">
      <c r="A189" s="12"/>
      <c r="B189" s="12"/>
      <c r="C189" s="12"/>
    </row>
    <row r="190" spans="1:3">
      <c r="A190" s="12"/>
      <c r="B190" s="12"/>
      <c r="C190" s="12"/>
    </row>
    <row r="191" spans="1:3">
      <c r="A191" s="12"/>
      <c r="B191" s="12"/>
      <c r="C191" s="12"/>
    </row>
    <row r="192" spans="1:3">
      <c r="A192" s="12"/>
      <c r="B192" s="12"/>
      <c r="C192" s="12"/>
    </row>
    <row r="193" spans="1:3">
      <c r="A193" s="12"/>
      <c r="B193" s="12"/>
      <c r="C193" s="12"/>
    </row>
    <row r="194" spans="1:3">
      <c r="A194" s="12"/>
      <c r="B194" s="12"/>
      <c r="C194" s="12"/>
    </row>
    <row r="195" spans="1:3">
      <c r="A195" s="12"/>
      <c r="B195" s="12"/>
      <c r="C195" s="12"/>
    </row>
    <row r="196" spans="1:3">
      <c r="A196" s="12"/>
      <c r="B196" s="12"/>
      <c r="C196" s="12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47634-D46D-4C7B-AA7B-53246A8D42C9}">
  <dimension ref="A1:G29"/>
  <sheetViews>
    <sheetView workbookViewId="0">
      <selection activeCell="A7" sqref="A7"/>
    </sheetView>
  </sheetViews>
  <sheetFormatPr defaultRowHeight="15"/>
  <cols>
    <col min="1" max="1" width="15.5703125" bestFit="1" customWidth="1"/>
    <col min="2" max="4" width="20.140625" bestFit="1" customWidth="1"/>
    <col min="6" max="6" width="12.5703125" customWidth="1"/>
    <col min="7" max="7" width="12.28515625" bestFit="1" customWidth="1"/>
  </cols>
  <sheetData>
    <row r="1" spans="1:7">
      <c r="A1" s="19" t="s">
        <v>13</v>
      </c>
      <c r="B1" s="18" t="s">
        <v>13</v>
      </c>
    </row>
    <row r="2" spans="1:7">
      <c r="A2" t="s">
        <v>13</v>
      </c>
    </row>
    <row r="3" spans="1:7">
      <c r="A3" s="19" t="s">
        <v>1</v>
      </c>
      <c r="B3" s="18" t="s">
        <v>2</v>
      </c>
    </row>
    <row r="4" spans="1:7">
      <c r="A4" s="18" t="s">
        <v>3</v>
      </c>
      <c r="B4" s="20">
        <v>500</v>
      </c>
      <c r="G4" s="18" t="s">
        <v>14</v>
      </c>
    </row>
    <row r="5" spans="1:7">
      <c r="A5" s="18" t="s">
        <v>4</v>
      </c>
      <c r="B5" s="20">
        <v>15000</v>
      </c>
      <c r="G5" s="21" t="s">
        <v>3</v>
      </c>
    </row>
    <row r="6" spans="1:7">
      <c r="A6" s="18" t="s">
        <v>5</v>
      </c>
      <c r="B6" s="20">
        <v>1000</v>
      </c>
      <c r="G6" s="21" t="s">
        <v>4</v>
      </c>
    </row>
    <row r="7" spans="1:7">
      <c r="A7" s="18" t="s">
        <v>6</v>
      </c>
      <c r="B7" s="20">
        <v>15000</v>
      </c>
      <c r="G7" s="21" t="s">
        <v>15</v>
      </c>
    </row>
    <row r="8" spans="1:7">
      <c r="A8" s="18" t="s">
        <v>7</v>
      </c>
      <c r="B8" s="20">
        <v>2700</v>
      </c>
      <c r="G8" s="21" t="s">
        <v>16</v>
      </c>
    </row>
    <row r="9" spans="1:7">
      <c r="A9" s="18" t="s">
        <v>8</v>
      </c>
      <c r="B9" s="20">
        <v>10000</v>
      </c>
      <c r="G9" s="21" t="s">
        <v>17</v>
      </c>
    </row>
    <row r="10" spans="1:7">
      <c r="A10" s="18" t="s">
        <v>9</v>
      </c>
      <c r="B10" s="20">
        <v>1320</v>
      </c>
      <c r="G10" s="21" t="s">
        <v>5</v>
      </c>
    </row>
    <row r="11" spans="1:7">
      <c r="A11" s="18" t="s">
        <v>10</v>
      </c>
      <c r="B11" s="20">
        <v>10000</v>
      </c>
      <c r="G11" s="21" t="s">
        <v>6</v>
      </c>
    </row>
    <row r="12" spans="1:7">
      <c r="A12" s="18" t="s">
        <v>11</v>
      </c>
      <c r="B12" s="20">
        <v>3000</v>
      </c>
      <c r="G12" s="21" t="s">
        <v>18</v>
      </c>
    </row>
    <row r="13" spans="1:7">
      <c r="A13" s="18" t="s">
        <v>12</v>
      </c>
      <c r="B13" s="20">
        <v>58520</v>
      </c>
      <c r="G13" s="21" t="s">
        <v>19</v>
      </c>
    </row>
    <row r="14" spans="1:7">
      <c r="G14" s="21" t="s">
        <v>20</v>
      </c>
    </row>
    <row r="15" spans="1:7">
      <c r="G15" s="21" t="s">
        <v>7</v>
      </c>
    </row>
    <row r="16" spans="1:7">
      <c r="G16" s="21" t="s">
        <v>21</v>
      </c>
    </row>
    <row r="17" spans="6:7">
      <c r="G17" s="21" t="s">
        <v>8</v>
      </c>
    </row>
    <row r="18" spans="6:7">
      <c r="G18" s="21" t="s">
        <v>22</v>
      </c>
    </row>
    <row r="19" spans="6:7">
      <c r="G19" s="21" t="s">
        <v>23</v>
      </c>
    </row>
    <row r="20" spans="6:7">
      <c r="G20" s="21" t="s">
        <v>24</v>
      </c>
    </row>
    <row r="21" spans="6:7">
      <c r="G21" s="21" t="s">
        <v>9</v>
      </c>
    </row>
    <row r="22" spans="6:7">
      <c r="G22" s="21" t="s">
        <v>25</v>
      </c>
    </row>
    <row r="23" spans="6:7">
      <c r="G23" s="21" t="s">
        <v>10</v>
      </c>
    </row>
    <row r="24" spans="6:7">
      <c r="G24" s="21" t="s">
        <v>11</v>
      </c>
    </row>
    <row r="28" spans="6:7">
      <c r="F28" s="18" t="s">
        <v>26</v>
      </c>
      <c r="G28" s="18" t="s">
        <v>27</v>
      </c>
    </row>
    <row r="29" spans="6:7">
      <c r="F29" s="18" t="s">
        <v>28</v>
      </c>
      <c r="G29" s="18">
        <f>VLOOKUP(G28,Table1[],5,"FALSE")</f>
        <v>900</v>
      </c>
    </row>
  </sheetData>
  <dataValidations count="1">
    <dataValidation type="list" allowBlank="1" showInputMessage="1" showErrorMessage="1" sqref="G5:G24" xr:uid="{045AEDC4-F80E-4799-983C-8FDBDE766E94}">
      <formula1>"$C$2:$C$21"</formula1>
    </dataValidation>
  </dataValidations>
  <pageMargins left="0.7" right="0.7" top="0.75" bottom="0.75" header="0.3" footer="0.3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95A0E05-DA78-41F5-A564-C23580BEEC7B}">
          <x14:formula1>
            <xm:f>Raw_Data!$A$1:$A$21</xm:f>
          </x14:formula1>
          <xm:sqref>G28</xm:sqref>
        </x14:dataValidation>
      </x14:dataValidations>
    </ex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opLeftCell="A68" workbookViewId="0">
      <selection activeCell="I21" sqref="I21"/>
    </sheetView>
  </sheetViews>
  <sheetFormatPr defaultRowHeight="15"/>
  <cols>
    <col min="1" max="1" width="17.42578125" bestFit="1" customWidth="1"/>
    <col min="2" max="2" width="28.5703125" bestFit="1" customWidth="1"/>
    <col min="3" max="3" width="21" bestFit="1" customWidth="1"/>
    <col min="4" max="4" width="31.42578125" customWidth="1"/>
    <col min="5" max="5" width="18.42578125" customWidth="1"/>
    <col min="6" max="6" width="11" bestFit="1" customWidth="1"/>
    <col min="7" max="7" width="15.85546875" bestFit="1" customWidth="1"/>
  </cols>
  <sheetData>
    <row r="1" spans="1:7" ht="18.75">
      <c r="A1" s="10" t="s">
        <v>29</v>
      </c>
      <c r="B1" s="10" t="s">
        <v>30</v>
      </c>
      <c r="C1" s="10" t="s">
        <v>1</v>
      </c>
      <c r="D1" s="10" t="s">
        <v>31</v>
      </c>
      <c r="E1" s="11" t="s">
        <v>32</v>
      </c>
      <c r="F1" s="10" t="s">
        <v>33</v>
      </c>
      <c r="G1" s="10" t="s">
        <v>34</v>
      </c>
    </row>
    <row r="2" spans="1:7" ht="15.75">
      <c r="A2" t="s">
        <v>35</v>
      </c>
      <c r="B2" s="9">
        <v>45972</v>
      </c>
      <c r="C2" t="s">
        <v>3</v>
      </c>
      <c r="D2" s="13" t="s">
        <v>3</v>
      </c>
      <c r="E2" s="12">
        <v>500</v>
      </c>
      <c r="F2">
        <v>1</v>
      </c>
      <c r="G2" s="4">
        <f>E2*F2</f>
        <v>500</v>
      </c>
    </row>
    <row r="3" spans="1:7" ht="15.75">
      <c r="A3" t="s">
        <v>36</v>
      </c>
      <c r="B3" s="9">
        <v>45973</v>
      </c>
      <c r="C3" t="s">
        <v>4</v>
      </c>
      <c r="D3" s="13" t="s">
        <v>4</v>
      </c>
      <c r="E3" s="12">
        <v>15000</v>
      </c>
      <c r="F3">
        <v>1</v>
      </c>
      <c r="G3" s="4">
        <f>E3*F3</f>
        <v>15000</v>
      </c>
    </row>
    <row r="4" spans="1:7" ht="15.75">
      <c r="A4" t="s">
        <v>37</v>
      </c>
      <c r="B4" s="9">
        <v>45974</v>
      </c>
      <c r="C4" t="s">
        <v>15</v>
      </c>
      <c r="D4" s="13" t="s">
        <v>15</v>
      </c>
      <c r="E4" s="12">
        <v>340</v>
      </c>
      <c r="F4">
        <v>2</v>
      </c>
      <c r="G4" s="4">
        <f>E4*F4</f>
        <v>680</v>
      </c>
    </row>
    <row r="5" spans="1:7" ht="15.75">
      <c r="A5" t="s">
        <v>38</v>
      </c>
      <c r="B5" s="9">
        <v>45975</v>
      </c>
      <c r="C5" t="s">
        <v>16</v>
      </c>
      <c r="D5" s="13" t="s">
        <v>16</v>
      </c>
      <c r="E5" s="12">
        <v>35000</v>
      </c>
      <c r="F5">
        <v>3</v>
      </c>
      <c r="G5" s="4">
        <f>E5*F5</f>
        <v>105000</v>
      </c>
    </row>
    <row r="6" spans="1:7" ht="15.75">
      <c r="A6" t="s">
        <v>39</v>
      </c>
      <c r="B6" s="9">
        <v>45976</v>
      </c>
      <c r="C6" t="s">
        <v>17</v>
      </c>
      <c r="D6" s="13" t="s">
        <v>17</v>
      </c>
      <c r="E6" s="12">
        <v>900</v>
      </c>
      <c r="F6">
        <v>5</v>
      </c>
      <c r="G6" s="4">
        <f>E6*F6</f>
        <v>4500</v>
      </c>
    </row>
    <row r="7" spans="1:7" ht="15.75">
      <c r="A7" t="s">
        <v>40</v>
      </c>
      <c r="B7" s="9">
        <v>45977</v>
      </c>
      <c r="C7" t="s">
        <v>5</v>
      </c>
      <c r="D7" s="13" t="s">
        <v>3</v>
      </c>
      <c r="E7" s="12">
        <v>500</v>
      </c>
      <c r="F7">
        <v>2</v>
      </c>
      <c r="G7" s="4">
        <f>E7*F7</f>
        <v>1000</v>
      </c>
    </row>
    <row r="8" spans="1:7" ht="15.75">
      <c r="A8" t="s">
        <v>41</v>
      </c>
      <c r="B8" s="9">
        <v>45978</v>
      </c>
      <c r="C8" t="s">
        <v>6</v>
      </c>
      <c r="D8" s="13" t="s">
        <v>4</v>
      </c>
      <c r="E8" s="12">
        <v>15000</v>
      </c>
      <c r="F8">
        <v>1</v>
      </c>
      <c r="G8" s="4">
        <f>E8*F8</f>
        <v>15000</v>
      </c>
    </row>
    <row r="9" spans="1:7" ht="15.75">
      <c r="A9" t="s">
        <v>42</v>
      </c>
      <c r="B9" s="9">
        <v>45979</v>
      </c>
      <c r="C9" t="s">
        <v>18</v>
      </c>
      <c r="D9" s="13" t="s">
        <v>15</v>
      </c>
      <c r="E9" s="12">
        <v>340</v>
      </c>
      <c r="F9">
        <v>1</v>
      </c>
      <c r="G9" s="4">
        <f>E9*F9</f>
        <v>340</v>
      </c>
    </row>
    <row r="10" spans="1:7" ht="15.75">
      <c r="A10" t="s">
        <v>43</v>
      </c>
      <c r="B10" s="9">
        <v>45980</v>
      </c>
      <c r="C10" t="s">
        <v>19</v>
      </c>
      <c r="D10" s="13" t="s">
        <v>3</v>
      </c>
      <c r="E10" s="12">
        <v>35000</v>
      </c>
      <c r="F10">
        <v>1</v>
      </c>
      <c r="G10" s="4">
        <f>E10*F10</f>
        <v>35000</v>
      </c>
    </row>
    <row r="11" spans="1:7" ht="15.75">
      <c r="A11" t="s">
        <v>44</v>
      </c>
      <c r="B11" s="9">
        <v>45981</v>
      </c>
      <c r="C11" t="s">
        <v>20</v>
      </c>
      <c r="D11" s="13" t="s">
        <v>20</v>
      </c>
      <c r="E11" s="12">
        <v>150000</v>
      </c>
      <c r="F11">
        <v>1</v>
      </c>
      <c r="G11" s="4">
        <f>E11*F11</f>
        <v>150000</v>
      </c>
    </row>
    <row r="12" spans="1:7" ht="15.75">
      <c r="A12" t="s">
        <v>27</v>
      </c>
      <c r="B12" s="9">
        <v>45982</v>
      </c>
      <c r="C12" t="s">
        <v>7</v>
      </c>
      <c r="D12" s="13" t="s">
        <v>17</v>
      </c>
      <c r="E12" s="12">
        <v>900</v>
      </c>
      <c r="F12">
        <v>3</v>
      </c>
      <c r="G12" s="4">
        <f>E12*F12</f>
        <v>2700</v>
      </c>
    </row>
    <row r="13" spans="1:7" ht="15.75">
      <c r="A13" t="s">
        <v>45</v>
      </c>
      <c r="B13" s="9">
        <v>45983</v>
      </c>
      <c r="C13" t="s">
        <v>21</v>
      </c>
      <c r="D13" s="13" t="s">
        <v>21</v>
      </c>
      <c r="E13" s="12">
        <v>660</v>
      </c>
      <c r="F13">
        <v>2</v>
      </c>
      <c r="G13" s="4">
        <f>E13*F13</f>
        <v>1320</v>
      </c>
    </row>
    <row r="14" spans="1:7" ht="15.75">
      <c r="A14" t="s">
        <v>46</v>
      </c>
      <c r="B14" s="9">
        <v>45984</v>
      </c>
      <c r="C14" t="s">
        <v>8</v>
      </c>
      <c r="D14" s="13" t="s">
        <v>8</v>
      </c>
      <c r="E14" s="12">
        <v>10000</v>
      </c>
      <c r="F14">
        <v>1</v>
      </c>
      <c r="G14" s="4">
        <f>E14*F14</f>
        <v>10000</v>
      </c>
    </row>
    <row r="15" spans="1:7" ht="15.75">
      <c r="A15" t="s">
        <v>47</v>
      </c>
      <c r="B15" s="9">
        <v>45985</v>
      </c>
      <c r="C15" t="s">
        <v>22</v>
      </c>
      <c r="D15" s="13" t="s">
        <v>3</v>
      </c>
      <c r="E15" s="12">
        <v>500</v>
      </c>
      <c r="F15">
        <v>2</v>
      </c>
      <c r="G15" s="4">
        <f>E15*F15</f>
        <v>1000</v>
      </c>
    </row>
    <row r="16" spans="1:7" ht="15.75">
      <c r="A16" t="s">
        <v>48</v>
      </c>
      <c r="B16" s="9">
        <v>45986</v>
      </c>
      <c r="C16" t="s">
        <v>23</v>
      </c>
      <c r="D16" s="13" t="s">
        <v>16</v>
      </c>
      <c r="E16" s="12">
        <v>35000</v>
      </c>
      <c r="F16">
        <v>1</v>
      </c>
      <c r="G16" s="4">
        <f>E16*F16</f>
        <v>35000</v>
      </c>
    </row>
    <row r="17" spans="1:7" ht="15.75">
      <c r="A17" t="s">
        <v>49</v>
      </c>
      <c r="B17" s="9">
        <v>45987</v>
      </c>
      <c r="C17" t="s">
        <v>24</v>
      </c>
      <c r="D17" s="13" t="s">
        <v>17</v>
      </c>
      <c r="E17" s="12">
        <v>900</v>
      </c>
      <c r="F17">
        <v>1</v>
      </c>
      <c r="G17" s="4">
        <f>E17*F17</f>
        <v>900</v>
      </c>
    </row>
    <row r="18" spans="1:7" ht="15.75">
      <c r="A18" t="s">
        <v>50</v>
      </c>
      <c r="B18" s="9">
        <v>45988</v>
      </c>
      <c r="C18" t="s">
        <v>9</v>
      </c>
      <c r="D18" s="13" t="s">
        <v>21</v>
      </c>
      <c r="E18" s="12">
        <v>660</v>
      </c>
      <c r="F18">
        <v>2</v>
      </c>
      <c r="G18" s="4">
        <f>E18*F18</f>
        <v>1320</v>
      </c>
    </row>
    <row r="19" spans="1:7" ht="15.75">
      <c r="A19" t="s">
        <v>51</v>
      </c>
      <c r="B19" s="9">
        <v>45989</v>
      </c>
      <c r="C19" t="s">
        <v>25</v>
      </c>
      <c r="D19" s="13" t="s">
        <v>25</v>
      </c>
      <c r="E19" s="12">
        <v>100000</v>
      </c>
      <c r="F19">
        <v>5</v>
      </c>
      <c r="G19" s="4">
        <f>E19*F19</f>
        <v>500000</v>
      </c>
    </row>
    <row r="20" spans="1:7" ht="15.75">
      <c r="A20" t="s">
        <v>52</v>
      </c>
      <c r="B20" s="9">
        <v>45990</v>
      </c>
      <c r="C20" t="s">
        <v>10</v>
      </c>
      <c r="D20" s="13" t="s">
        <v>8</v>
      </c>
      <c r="E20" s="12">
        <v>10000</v>
      </c>
      <c r="F20">
        <v>1</v>
      </c>
      <c r="G20" s="4">
        <f>E20*F20</f>
        <v>10000</v>
      </c>
    </row>
    <row r="21" spans="1:7" ht="15.75">
      <c r="A21" t="s">
        <v>53</v>
      </c>
      <c r="B21" s="9">
        <v>45991</v>
      </c>
      <c r="C21" t="s">
        <v>11</v>
      </c>
      <c r="D21" s="13" t="s">
        <v>11</v>
      </c>
      <c r="E21">
        <v>1500</v>
      </c>
      <c r="F21">
        <v>2</v>
      </c>
      <c r="G21" s="4">
        <f>E21*F21</f>
        <v>3000</v>
      </c>
    </row>
    <row r="22" spans="1:7" ht="15.75">
      <c r="A22" s="6" t="s">
        <v>54</v>
      </c>
      <c r="B22" s="2"/>
      <c r="C22" s="3"/>
      <c r="D22" s="13"/>
      <c r="E22" s="3">
        <f>SUM(E2:E21)</f>
        <v>412700</v>
      </c>
      <c r="F22" s="3">
        <f>SUM(F2:F21)</f>
        <v>38</v>
      </c>
      <c r="G22" s="8">
        <f>SUM(G2:G21)</f>
        <v>892260</v>
      </c>
    </row>
    <row r="23" spans="1:7" ht="29.25">
      <c r="A23" s="7" t="s">
        <v>55</v>
      </c>
      <c r="D23" s="13"/>
      <c r="G23" s="4">
        <f>MAX(G2:G21)</f>
        <v>500000</v>
      </c>
    </row>
    <row r="24" spans="1:7" ht="29.25">
      <c r="A24" s="7" t="s">
        <v>56</v>
      </c>
      <c r="D24" s="13"/>
      <c r="E24" s="1"/>
      <c r="G24" s="4">
        <f>MIN(G2:G21)</f>
        <v>340</v>
      </c>
    </row>
    <row r="25" spans="1:7" ht="15.75">
      <c r="B25" s="7" t="s">
        <v>57</v>
      </c>
      <c r="D25" s="13"/>
      <c r="G25" s="5"/>
    </row>
    <row r="30" spans="1:7" ht="29.25">
      <c r="A30" t="s">
        <v>58</v>
      </c>
      <c r="B30" t="s">
        <v>59</v>
      </c>
      <c r="C30" t="s">
        <v>60</v>
      </c>
      <c r="D30" s="1" t="s">
        <v>61</v>
      </c>
      <c r="E30" t="s">
        <v>62</v>
      </c>
    </row>
    <row r="31" spans="1:7">
      <c r="A31" s="4">
        <f>AVERAGE(G2:G21)</f>
        <v>44613</v>
      </c>
      <c r="B31">
        <f>MAX(F2:F21)</f>
        <v>5</v>
      </c>
      <c r="C31">
        <f>MIN(F2:F21)</f>
        <v>1</v>
      </c>
      <c r="D31" t="b">
        <f>IF(50000&gt;G2,TRUE,FALSE)</f>
        <v>1</v>
      </c>
      <c r="E31" t="s">
        <v>35</v>
      </c>
    </row>
    <row r="32" spans="1:7">
      <c r="A32" s="4"/>
      <c r="D32" t="b">
        <f t="shared" ref="D32:D50" si="0">IF(50000&gt;G3,TRUE,FALSE)</f>
        <v>1</v>
      </c>
      <c r="E32" t="s">
        <v>36</v>
      </c>
    </row>
    <row r="33" spans="2:5">
      <c r="D33" t="b">
        <f t="shared" si="0"/>
        <v>1</v>
      </c>
      <c r="E33" t="s">
        <v>37</v>
      </c>
    </row>
    <row r="34" spans="2:5">
      <c r="D34" t="b">
        <f t="shared" si="0"/>
        <v>0</v>
      </c>
      <c r="E34" t="s">
        <v>38</v>
      </c>
    </row>
    <row r="35" spans="2:5">
      <c r="D35" t="b">
        <f t="shared" si="0"/>
        <v>1</v>
      </c>
      <c r="E35" t="s">
        <v>39</v>
      </c>
    </row>
    <row r="36" spans="2:5">
      <c r="D36" t="b">
        <f t="shared" si="0"/>
        <v>1</v>
      </c>
      <c r="E36" t="s">
        <v>40</v>
      </c>
    </row>
    <row r="37" spans="2:5">
      <c r="D37" t="b">
        <f t="shared" si="0"/>
        <v>1</v>
      </c>
      <c r="E37" t="s">
        <v>41</v>
      </c>
    </row>
    <row r="38" spans="2:5">
      <c r="D38" t="b">
        <f t="shared" si="0"/>
        <v>1</v>
      </c>
      <c r="E38" t="s">
        <v>42</v>
      </c>
    </row>
    <row r="39" spans="2:5">
      <c r="D39" t="b">
        <f t="shared" si="0"/>
        <v>1</v>
      </c>
      <c r="E39" t="s">
        <v>43</v>
      </c>
    </row>
    <row r="40" spans="2:5">
      <c r="D40" t="b">
        <f t="shared" si="0"/>
        <v>0</v>
      </c>
      <c r="E40" t="s">
        <v>44</v>
      </c>
    </row>
    <row r="41" spans="2:5">
      <c r="D41" t="b">
        <f t="shared" si="0"/>
        <v>1</v>
      </c>
      <c r="E41" t="s">
        <v>27</v>
      </c>
    </row>
    <row r="42" spans="2:5">
      <c r="D42" t="b">
        <f t="shared" si="0"/>
        <v>1</v>
      </c>
      <c r="E42" t="s">
        <v>45</v>
      </c>
    </row>
    <row r="43" spans="2:5">
      <c r="D43" t="b">
        <f t="shared" si="0"/>
        <v>1</v>
      </c>
      <c r="E43" t="s">
        <v>46</v>
      </c>
    </row>
    <row r="44" spans="2:5">
      <c r="D44" t="b">
        <f t="shared" si="0"/>
        <v>1</v>
      </c>
      <c r="E44" t="s">
        <v>47</v>
      </c>
    </row>
    <row r="45" spans="2:5">
      <c r="D45" t="b">
        <f t="shared" si="0"/>
        <v>1</v>
      </c>
      <c r="E45" t="s">
        <v>48</v>
      </c>
    </row>
    <row r="46" spans="2:5">
      <c r="D46" t="b">
        <f t="shared" si="0"/>
        <v>1</v>
      </c>
      <c r="E46" t="s">
        <v>49</v>
      </c>
    </row>
    <row r="47" spans="2:5">
      <c r="B47" t="s">
        <v>63</v>
      </c>
      <c r="D47" t="b">
        <f t="shared" si="0"/>
        <v>1</v>
      </c>
      <c r="E47" t="s">
        <v>50</v>
      </c>
    </row>
    <row r="48" spans="2:5">
      <c r="D48" t="b">
        <f t="shared" si="0"/>
        <v>0</v>
      </c>
      <c r="E48" t="s">
        <v>51</v>
      </c>
    </row>
    <row r="49" spans="1:5">
      <c r="D49" t="b">
        <f t="shared" si="0"/>
        <v>1</v>
      </c>
      <c r="E49" t="s">
        <v>52</v>
      </c>
    </row>
    <row r="50" spans="1:5">
      <c r="D50" t="b">
        <f t="shared" si="0"/>
        <v>1</v>
      </c>
      <c r="E50" t="s">
        <v>53</v>
      </c>
    </row>
    <row r="54" spans="1:5" ht="27" customHeight="1">
      <c r="A54" t="s">
        <v>62</v>
      </c>
      <c r="B54" t="s">
        <v>64</v>
      </c>
      <c r="C54" t="s">
        <v>65</v>
      </c>
      <c r="D54" t="s">
        <v>66</v>
      </c>
    </row>
    <row r="55" spans="1:5">
      <c r="A55" s="14" t="s">
        <v>35</v>
      </c>
      <c r="B55" s="15" t="str">
        <f>IF(500&gt;E2,"Yes","False")</f>
        <v>False</v>
      </c>
      <c r="C55" s="15" t="str">
        <f>IF(500&gt;E2,"yes",IF(E2&gt;15000,"yes","no"))</f>
        <v>no</v>
      </c>
      <c r="D55" s="15" t="str">
        <f>IF(AND(500&gt;E2,E2&gt;20000),"True","False")</f>
        <v>False</v>
      </c>
    </row>
    <row r="56" spans="1:5">
      <c r="A56" s="14" t="s">
        <v>36</v>
      </c>
      <c r="B56" s="15" t="str">
        <f t="shared" ref="B56:B74" si="1">IF(500&gt;E3,"Yes","False")</f>
        <v>False</v>
      </c>
      <c r="C56" s="15" t="str">
        <f t="shared" ref="C56:C74" si="2">IF(500&gt;E3,"yes",IF(E3&gt;15000,"yes","no"))</f>
        <v>no</v>
      </c>
      <c r="D56" s="15" t="str">
        <f t="shared" ref="D56:D74" si="3">IF(AND(500&gt;E3,E3&gt;20000),"True","False")</f>
        <v>False</v>
      </c>
    </row>
    <row r="57" spans="1:5">
      <c r="A57" s="14" t="s">
        <v>37</v>
      </c>
      <c r="B57" s="15" t="str">
        <f t="shared" si="1"/>
        <v>Yes</v>
      </c>
      <c r="C57" s="15" t="str">
        <f t="shared" si="2"/>
        <v>yes</v>
      </c>
      <c r="D57" s="15" t="str">
        <f t="shared" si="3"/>
        <v>False</v>
      </c>
    </row>
    <row r="58" spans="1:5">
      <c r="A58" s="14" t="s">
        <v>38</v>
      </c>
      <c r="B58" s="15" t="str">
        <f t="shared" si="1"/>
        <v>False</v>
      </c>
      <c r="C58" s="15" t="str">
        <f t="shared" si="2"/>
        <v>yes</v>
      </c>
      <c r="D58" s="15" t="str">
        <f t="shared" si="3"/>
        <v>False</v>
      </c>
    </row>
    <row r="59" spans="1:5">
      <c r="A59" s="14" t="s">
        <v>39</v>
      </c>
      <c r="B59" s="15" t="str">
        <f t="shared" si="1"/>
        <v>False</v>
      </c>
      <c r="C59" s="15" t="str">
        <f t="shared" si="2"/>
        <v>no</v>
      </c>
      <c r="D59" s="15" t="str">
        <f t="shared" si="3"/>
        <v>False</v>
      </c>
    </row>
    <row r="60" spans="1:5">
      <c r="A60" s="14" t="s">
        <v>40</v>
      </c>
      <c r="B60" s="15" t="str">
        <f t="shared" si="1"/>
        <v>False</v>
      </c>
      <c r="C60" s="15" t="str">
        <f t="shared" si="2"/>
        <v>no</v>
      </c>
      <c r="D60" s="15" t="str">
        <f t="shared" si="3"/>
        <v>False</v>
      </c>
    </row>
    <row r="61" spans="1:5">
      <c r="A61" s="14" t="s">
        <v>41</v>
      </c>
      <c r="B61" s="15" t="str">
        <f t="shared" si="1"/>
        <v>False</v>
      </c>
      <c r="C61" s="15" t="str">
        <f t="shared" si="2"/>
        <v>no</v>
      </c>
      <c r="D61" s="15" t="str">
        <f t="shared" si="3"/>
        <v>False</v>
      </c>
    </row>
    <row r="62" spans="1:5">
      <c r="A62" s="14" t="s">
        <v>42</v>
      </c>
      <c r="B62" s="15" t="str">
        <f t="shared" si="1"/>
        <v>Yes</v>
      </c>
      <c r="C62" s="15" t="str">
        <f t="shared" si="2"/>
        <v>yes</v>
      </c>
      <c r="D62" s="15" t="str">
        <f t="shared" si="3"/>
        <v>False</v>
      </c>
    </row>
    <row r="63" spans="1:5">
      <c r="A63" s="14" t="s">
        <v>43</v>
      </c>
      <c r="B63" s="15" t="str">
        <f t="shared" si="1"/>
        <v>False</v>
      </c>
      <c r="C63" s="15" t="str">
        <f t="shared" si="2"/>
        <v>yes</v>
      </c>
      <c r="D63" s="15" t="str">
        <f t="shared" si="3"/>
        <v>False</v>
      </c>
    </row>
    <row r="64" spans="1:5">
      <c r="A64" s="14" t="s">
        <v>44</v>
      </c>
      <c r="B64" s="15" t="str">
        <f t="shared" si="1"/>
        <v>False</v>
      </c>
      <c r="C64" s="15" t="str">
        <f t="shared" si="2"/>
        <v>yes</v>
      </c>
      <c r="D64" s="15" t="str">
        <f t="shared" si="3"/>
        <v>False</v>
      </c>
    </row>
    <row r="65" spans="1:4">
      <c r="A65" s="14" t="s">
        <v>27</v>
      </c>
      <c r="B65" s="15" t="str">
        <f t="shared" si="1"/>
        <v>False</v>
      </c>
      <c r="C65" s="15" t="str">
        <f t="shared" si="2"/>
        <v>no</v>
      </c>
      <c r="D65" s="15" t="str">
        <f t="shared" si="3"/>
        <v>False</v>
      </c>
    </row>
    <row r="66" spans="1:4">
      <c r="A66" s="14" t="s">
        <v>45</v>
      </c>
      <c r="B66" s="15" t="str">
        <f t="shared" si="1"/>
        <v>False</v>
      </c>
      <c r="C66" s="15" t="str">
        <f t="shared" si="2"/>
        <v>no</v>
      </c>
      <c r="D66" s="15" t="str">
        <f t="shared" si="3"/>
        <v>False</v>
      </c>
    </row>
    <row r="67" spans="1:4">
      <c r="A67" s="14" t="s">
        <v>46</v>
      </c>
      <c r="B67" s="15" t="str">
        <f t="shared" si="1"/>
        <v>False</v>
      </c>
      <c r="C67" s="15" t="str">
        <f t="shared" si="2"/>
        <v>no</v>
      </c>
      <c r="D67" s="15" t="str">
        <f t="shared" si="3"/>
        <v>False</v>
      </c>
    </row>
    <row r="68" spans="1:4">
      <c r="A68" s="14" t="s">
        <v>47</v>
      </c>
      <c r="B68" s="15" t="str">
        <f t="shared" si="1"/>
        <v>False</v>
      </c>
      <c r="C68" s="15" t="str">
        <f t="shared" si="2"/>
        <v>no</v>
      </c>
      <c r="D68" s="15" t="str">
        <f t="shared" si="3"/>
        <v>False</v>
      </c>
    </row>
    <row r="69" spans="1:4">
      <c r="A69" s="14" t="s">
        <v>48</v>
      </c>
      <c r="B69" s="15" t="str">
        <f t="shared" si="1"/>
        <v>False</v>
      </c>
      <c r="C69" s="15" t="str">
        <f t="shared" si="2"/>
        <v>yes</v>
      </c>
      <c r="D69" s="15" t="str">
        <f t="shared" si="3"/>
        <v>False</v>
      </c>
    </row>
    <row r="70" spans="1:4">
      <c r="A70" s="14" t="s">
        <v>49</v>
      </c>
      <c r="B70" s="15" t="str">
        <f t="shared" si="1"/>
        <v>False</v>
      </c>
      <c r="C70" s="15" t="str">
        <f t="shared" si="2"/>
        <v>no</v>
      </c>
      <c r="D70" s="15" t="str">
        <f t="shared" si="3"/>
        <v>False</v>
      </c>
    </row>
    <row r="71" spans="1:4">
      <c r="A71" s="14" t="s">
        <v>50</v>
      </c>
      <c r="B71" s="15" t="str">
        <f t="shared" si="1"/>
        <v>False</v>
      </c>
      <c r="C71" s="15" t="str">
        <f t="shared" si="2"/>
        <v>no</v>
      </c>
      <c r="D71" s="15" t="str">
        <f t="shared" si="3"/>
        <v>False</v>
      </c>
    </row>
    <row r="72" spans="1:4">
      <c r="A72" s="14" t="s">
        <v>51</v>
      </c>
      <c r="B72" s="15" t="str">
        <f t="shared" si="1"/>
        <v>False</v>
      </c>
      <c r="C72" s="15" t="str">
        <f t="shared" si="2"/>
        <v>yes</v>
      </c>
      <c r="D72" s="15" t="str">
        <f t="shared" si="3"/>
        <v>False</v>
      </c>
    </row>
    <row r="73" spans="1:4">
      <c r="A73" s="14" t="s">
        <v>52</v>
      </c>
      <c r="B73" s="15" t="str">
        <f t="shared" si="1"/>
        <v>False</v>
      </c>
      <c r="C73" s="15" t="str">
        <f t="shared" si="2"/>
        <v>no</v>
      </c>
      <c r="D73" s="15" t="str">
        <f t="shared" si="3"/>
        <v>False</v>
      </c>
    </row>
    <row r="74" spans="1:4">
      <c r="A74" s="14" t="s">
        <v>53</v>
      </c>
      <c r="B74" s="15" t="str">
        <f t="shared" si="1"/>
        <v>False</v>
      </c>
      <c r="C74" s="15" t="str">
        <f t="shared" si="2"/>
        <v>no</v>
      </c>
      <c r="D74" s="15" t="str">
        <f t="shared" si="3"/>
        <v>False</v>
      </c>
    </row>
    <row r="75" spans="1:4">
      <c r="A75" s="16"/>
      <c r="B75" s="17"/>
      <c r="C75" s="17"/>
      <c r="D75" s="17"/>
    </row>
  </sheetData>
  <conditionalFormatting sqref="D2:D24">
    <cfRule type="duplicateValues" dxfId="10" priority="1"/>
  </conditionalFormatting>
  <dataValidations count="2">
    <dataValidation type="list" allowBlank="1" showInputMessage="1" showErrorMessage="1" sqref="C2:C21" xr:uid="{D9E7BB69-0391-432C-BC20-40C6596F6B3C}">
      <formula1>"$C$2:$C$21"</formula1>
    </dataValidation>
    <dataValidation type="list" showDropDown="1" showInputMessage="1" showErrorMessage="1" sqref="D1" xr:uid="{E76FD188-E0F9-421B-8A07-EFA46565DE61}">
      <formula1>"$C$2:$C$21"</formula1>
    </dataValidation>
  </dataValidations>
  <pageMargins left="0.7" right="0.7" top="0.75" bottom="0.75" header="0.3" footer="0.3"/>
  <drawing r:id="rId1"/>
  <legacyDrawing r:id="rId2"/>
  <tableParts count="3">
    <tablePart r:id="rId3"/>
    <tablePart r:id="rId4"/>
    <tablePart r:id="rId5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4A28A3B-70ED-467D-9849-C24539FB30A2}">
          <x14:formula1>
            <xm:f>List!$G$5:$G$24</xm:f>
          </x14:formula1>
          <xm:sqref>D2:D21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2025-12-07T06:31:39Z</dcterms:created>
  <dcterms:modified xsi:type="dcterms:W3CDTF">2025-12-09T10:11:03Z</dcterms:modified>
  <cp:category/>
  <cp:contentStatus/>
</cp:coreProperties>
</file>